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rajalar" sheetId="1" state="visible" r:id="rId3"/>
    <sheet name="Oziqlanish" sheetId="2" state="visible" r:id="rId4"/>
    <sheet name="Binolar" sheetId="3" state="visible" r:id="rId5"/>
    <sheet name="Umumiy bogʻlanish" sheetId="4" state="visible" r:id="rId6"/>
    <sheet name="Rollar" sheetId="5" state="visible" r:id="rId7"/>
    <sheet name="PvP oʻlja" sheetId="6" state="visible" r:id="rId8"/>
    <sheet name="Razvedka" sheetId="7" state="visible" r:id="rId9"/>
    <sheet name="Lager va oazis" sheetId="8" state="visible" r:id="rId10"/>
    <sheet name="Profil" sheetId="9" state="visible" r:id="rId11"/>
    <sheet name="Vaqt va narx" sheetId="10" state="visible" r:id="rId12"/>
    <sheet name="Mukofot va mavsum" sheetId="11" state="visible" r:id="rId13"/>
    <sheet name="Adolat nazorati" sheetId="12" state="visible" r:id="rId14"/>
    <sheet name="Tanishtiruv" sheetId="13" state="visible" r:id="rId15"/>
    <sheet name="Vazifalar" sheetId="14" state="visible" r:id="rId16"/>
    <sheet name="Askar iqtisodi" sheetId="15" state="visible" r:id="rId17"/>
    <sheet name="PvP mexanikasi" sheetId="16" state="visible" r:id="rId18"/>
    <sheet name="Toʻda jangi" sheetId="17" state="visible" r:id="rId19"/>
    <sheet name="Oflayn hisob" sheetId="18" state="visible" r:id="rId20"/>
    <sheet name="Monetizatsiya" sheetId="19" state="visible" r:id="rId21"/>
    <sheet name="Ochilish" sheetId="20" state="visible" r:id="rId22"/>
    <sheet name="Sozlamalar" sheetId="21" state="visible" r:id="rId23"/>
  </sheets>
  <definedNames>
    <definedName function="false" hidden="false" name="alpha_bonus" vbProcedure="false">Sozlamalar!$B$139</definedName>
    <definedName function="false" hidden="false" name="attack_window_down" vbProcedure="false">Sozlamalar!$B$224</definedName>
    <definedName function="false" hidden="false" name="attack_window_up" vbProcedure="false">Sozlamalar!$B$225</definedName>
    <definedName function="false" hidden="false" name="att_death_share" vbProcedure="false">Sozlamalar!$B$85</definedName>
    <definedName function="false" hidden="false" name="battle_base_loss" vbProcedure="false">Sozlamalar!$B$81</definedName>
    <definedName function="false" hidden="false" name="battle_full_win_r" vbProcedure="false">Sozlamalar!$B$275</definedName>
    <definedName function="false" hidden="false" name="battle_loss_r" vbProcedure="false">Sozlamalar!$B$277</definedName>
    <definedName function="false" hidden="false" name="battle_max_loss" vbProcedure="false">Sozlamalar!$B$82</definedName>
    <definedName function="false" hidden="false" name="battle_rounds" vbProcedure="false">Sozlamalar!$B$83</definedName>
    <definedName function="false" hidden="false" name="battle_variance" vbProcedure="false">Sozlamalar!$B$84</definedName>
    <definedName function="false" hidden="false" name="battle_win_r" vbProcedure="false">Sozlamalar!$B$276</definedName>
    <definedName function="false" hidden="false" name="bot_power_even" vbProcedure="false">Sozlamalar!$B$297</definedName>
    <definedName function="false" hidden="false" name="bot_power_strong" vbProcedure="false">Sozlamalar!$B$298</definedName>
    <definedName function="false" hidden="false" name="bot_power_weak" vbProcedure="false">Sozlamalar!$B$296</definedName>
    <definedName function="false" hidden="false" name="bot_unlock_level" vbProcedure="false">Sozlamalar!$B$295</definedName>
    <definedName function="false" hidden="false" name="bot_variance" vbProcedure="false">Sozlamalar!$B$299</definedName>
    <definedName function="false" hidden="false" name="building_level_over_player" vbProcedure="false">Sozlamalar!$B$150</definedName>
    <definedName function="false" hidden="false" name="build_plan_days" vbProcedure="false">Sozlamalar!$B$137</definedName>
    <definedName function="false" hidden="false" name="build_time_base_min" vbProcedure="false">Sozlamalar!$B$136</definedName>
    <definedName function="false" hidden="false" name="camp_hours" vbProcedure="false">Sozlamalar!$B$162</definedName>
    <definedName function="false" hidden="false" name="camp_rate" vbProcedure="false">Sozlamalar!$B$160</definedName>
    <definedName function="false" hidden="false" name="camp_send_share" vbProcedure="false">Sozlamalar!$B$163</definedName>
    <definedName function="false" hidden="false" name="camp_tier_bonus" vbProcedure="false">Sozlamalar!$B$161</definedName>
    <definedName function="false" hidden="false" name="camp_yield_share_max" vbProcedure="false">Sozlamalar!$B$306</definedName>
    <definedName function="false" hidden="false" name="catchup_gap_coef" vbProcedure="false">Sozlamalar!$B$248</definedName>
    <definedName function="false" hidden="false" name="catchup_gap_threshold" vbProcedure="false">Sozlamalar!$B$249</definedName>
    <definedName function="false" hidden="false" name="catchup_max_mult" vbProcedure="false">Sozlamalar!$B$247</definedName>
    <definedName function="false" hidden="false" name="catchup_taper_end" vbProcedure="false">Sozlamalar!$B$251</definedName>
    <definedName function="false" hidden="false" name="catchup_taper_start" vbProcedure="false">Sozlamalar!$B$250</definedName>
    <definedName function="false" hidden="false" name="cave_protect_base" vbProcedure="false">Sozlamalar!$B$122</definedName>
    <definedName function="false" hidden="false" name="cave_protect_growth" vbProcedure="false">Sozlamalar!$B$123</definedName>
    <definedName function="false" hidden="false" name="clan_xp_base" vbProcedure="false">Sozlamalar!$B$102</definedName>
    <definedName function="false" hidden="false" name="clan_xp_growth" vbProcedure="false">Sozlamalar!$B$103</definedName>
    <definedName function="false" hidden="false" name="class_ancient" vbProcedure="false">Sozlamalar!$B$17</definedName>
    <definedName function="false" hidden="false" name="class_myth" vbProcedure="false">Sozlamalar!$B$18</definedName>
    <definedName function="false" hidden="false" name="class_real" vbProcedure="false">Sozlamalar!$B$16</definedName>
    <definedName function="false" hidden="false" name="coins_per_usd" vbProcedure="false">Sozlamalar!$B$206</definedName>
    <definedName function="false" hidden="false" name="comeback_shield_min" vbProcedure="false">Sozlamalar!$B$62</definedName>
    <definedName function="false" hidden="false" name="cost_coef_battle_ground" vbProcedure="false">Sozlamalar!$B$156</definedName>
    <definedName function="false" hidden="false" name="cost_coef_defense_wall" vbProcedure="false">Sozlamalar!$B$157</definedName>
    <definedName function="false" hidden="false" name="cost_coef_hunt_path" vbProcedure="false">Sozlamalar!$B$158</definedName>
    <definedName function="false" hidden="false" name="cost_coef_scout_rock" vbProcedure="false">Sozlamalar!$B$155</definedName>
    <definedName function="false" hidden="false" name="cost_food_cave_stone" vbProcedure="false">Sozlamalar!$B$124</definedName>
    <definedName function="false" hidden="false" name="cost_food_cave_wood" vbProcedure="false">Sozlamalar!$B$125</definedName>
    <definedName function="false" hidden="false" name="cost_growth" vbProcedure="false">Sozlamalar!$B$134</definedName>
    <definedName function="false" hidden="false" name="cost_hospital_hide" vbProcedure="false">Sozlamalar!$B$187</definedName>
    <definedName function="false" hidden="false" name="cost_hospital_stone" vbProcedure="false">Sozlamalar!$B$188</definedName>
    <definedName function="false" hidden="false" name="cost_hospital_wood" vbProcedure="false">Sozlamalar!$B$186</definedName>
    <definedName function="false" hidden="false" name="cost_market_stone" vbProcedure="false">Sozlamalar!$B$196</definedName>
    <definedName function="false" hidden="false" name="cost_market_wood" vbProcedure="false">Sozlamalar!$B$197</definedName>
    <definedName function="false" hidden="false" name="cost_role_bone" vbProcedure="false">Sozlamalar!$B$152</definedName>
    <definedName function="false" hidden="false" name="cost_role_hide" vbProcedure="false">Sozlamalar!$B$153</definedName>
    <definedName function="false" hidden="false" name="cost_role_stone" vbProcedure="false">Sozlamalar!$B$151</definedName>
    <definedName function="false" hidden="false" name="cost_workshop_bone" vbProcedure="false">Sozlamalar!$B$132</definedName>
    <definedName function="false" hidden="false" name="cost_workshop_stone" vbProcedure="false">Sozlamalar!$B$130</definedName>
    <definedName function="false" hidden="false" name="cost_workshop_wood" vbProcedure="false">Sozlamalar!$B$131</definedName>
    <definedName function="false" hidden="false" name="counter_bonus" vbProcedure="false">Sozlamalar!$B$142</definedName>
    <definedName function="false" hidden="false" name="cp_w_hp" vbProcedure="false">Sozlamalar!$B$109</definedName>
    <definedName function="false" hidden="false" name="cp_w_power" vbProcedure="false">Sozlamalar!$B$107</definedName>
    <definedName function="false" hidden="false" name="cp_w_speed" vbProcedure="false">Sozlamalar!$B$108</definedName>
    <definedName function="false" hidden="false" name="def_death_share" vbProcedure="false">Sozlamalar!$B$86</definedName>
    <definedName function="false" hidden="false" name="den_speed_coef" vbProcedure="false">Sozlamalar!$B$305</definedName>
    <definedName function="false" hidden="false" name="fair_clan_switch_d" vbProcedure="false">Sozlamalar!$B$216</definedName>
    <definedName function="false" hidden="false" name="fair_closed_group_share" vbProcedure="false">Sozlamalar!$B$210</definedName>
    <definedName function="false" hidden="false" name="fair_closed_group_size" vbProcedure="false">Sozlamalar!$B$211</definedName>
    <definedName function="false" hidden="false" name="fair_manual_top" vbProcedure="false">Sozlamalar!$B$218</definedName>
    <definedName function="false" hidden="false" name="fair_min_att_loss" vbProcedure="false">Sozlamalar!$B$214</definedName>
    <definedName function="false" hidden="false" name="fair_min_defense_cp" vbProcedure="false">Sozlamalar!$B$212</definedName>
    <definedName function="false" hidden="false" name="fair_min_rounds" vbProcedure="false">Sozlamalar!$B$213</definedName>
    <definedName function="false" hidden="false" name="fair_one_sided_ratio" vbProcedure="false">Sozlamalar!$B$215</definedName>
    <definedName function="false" hidden="false" name="fair_pair_season_limit" vbProcedure="false">Sozlamalar!$B$209</definedName>
    <definedName function="false" hidden="false" name="fair_payout_wait_h" vbProcedure="false">Sozlamalar!$B$217</definedName>
    <definedName function="false" hidden="false" name="fund_arpu_estimate" vbProcedure="false">Sozlamalar!$B$200</definedName>
    <definedName function="false" hidden="false" name="fund_dau_estimate" vbProcedure="false">Sozlamalar!$B$199</definedName>
    <definedName function="false" hidden="false" name="fund_share" vbProcedure="false">Sozlamalar!$B$201</definedName>
    <definedName function="false" hidden="false" name="heal_herb_per_tier" vbProcedure="false">Sozlamalar!$B$272</definedName>
    <definedName function="false" hidden="false" name="heal_no_hospital_min" vbProcedure="false">Sozlamalar!$B$273</definedName>
    <definedName function="false" hidden="false" name="heal_speed_growth" vbProcedure="false">Sozlamalar!$B$185</definedName>
    <definedName function="false" hidden="false" name="heal_time_min" vbProcedure="false">Sozlamalar!$B$184</definedName>
    <definedName function="false" hidden="false" name="hospital_cap_base" vbProcedure="false">Sozlamalar!$B$182</definedName>
    <definedName function="false" hidden="false" name="hospital_cap_growth" vbProcedure="false">Sozlamalar!$B$183</definedName>
    <definedName function="false" hidden="false" name="hunger_cp_penalty" vbProcedure="false">Sozlamalar!$B$56</definedName>
    <definedName function="false" hidden="false" name="hunger_leave_after_d" vbProcedure="false">Sozlamalar!$B$58</definedName>
    <definedName function="false" hidden="false" name="hunger_leave_daily" vbProcedure="false">Sozlamalar!$B$59</definedName>
    <definedName function="false" hidden="false" name="hunger_leave_max" vbProcedure="false">Sozlamalar!$B$60</definedName>
    <definedName function="false" hidden="false" name="hunger_prod_penalty" vbProcedure="false">Sozlamalar!$B$57</definedName>
    <definedName function="false" hidden="false" name="hunter_tier_bonus" vbProcedure="false">Sozlamalar!$B$258</definedName>
    <definedName function="false" hidden="false" name="hunter_unlock_level" vbProcedure="false">Sozlamalar!$B$253</definedName>
    <definedName function="false" hidden="false" name="hunter_yield_mult" vbProcedure="false">Sozlamalar!$B$257</definedName>
    <definedName function="false" hidden="false" name="hunt_duration_min" vbProcedure="false">Sozlamalar!$B$256</definedName>
    <definedName function="false" hidden="false" name="hunt_herb_share" vbProcedure="false">Sozlamalar!$B$263</definedName>
    <definedName function="false" hidden="false" name="hunt_party_bonus" vbProcedure="false">Sozlamalar!$B$261</definedName>
    <definedName function="false" hidden="false" name="hunt_party_max" vbProcedure="false">Sozlamalar!$B$262</definedName>
    <definedName function="false" hidden="false" name="hunt_small_party_penalty" vbProcedure="false">Sozlamalar!$B$260</definedName>
    <definedName function="false" hidden="false" name="loot_cap_ratio" vbProcedure="false">Sozlamalar!$B$222</definedName>
    <definedName function="false" hidden="false" name="loot_carry_base" vbProcedure="false">Sozlamalar!$B$220</definedName>
    <definedName function="false" hidden="false" name="loot_carry_tier" vbProcedure="false">Sozlamalar!$B$221</definedName>
    <definedName function="false" hidden="false" name="loot_level_m1" vbProcedure="false">Sozlamalar!$B$286</definedName>
    <definedName function="false" hidden="false" name="loot_level_m2" vbProcedure="false">Sozlamalar!$B$288</definedName>
    <definedName function="false" hidden="false" name="loot_level_m3" vbProcedure="false">Sozlamalar!$B$290</definedName>
    <definedName function="false" hidden="false" name="loot_level_p1" vbProcedure="false">Sozlamalar!$B$287</definedName>
    <definedName function="false" hidden="false" name="loot_level_p2" vbProcedure="false">Sozlamalar!$B$289</definedName>
    <definedName function="false" hidden="false" name="loot_level_p3" vbProcedure="false">Sozlamalar!$B$291</definedName>
    <definedName function="false" hidden="false" name="loot_offline_after_h" vbProcedure="false">Sozlamalar!$B$293</definedName>
    <definedName function="false" hidden="false" name="loot_offline_mult" vbProcedure="false">Sozlamalar!$B$292</definedName>
    <definedName function="false" hidden="false" name="loot_partial_win" vbProcedure="false">Sozlamalar!$B$283</definedName>
    <definedName function="false" hidden="false" name="loot_repeat_2" vbProcedure="false">Sozlamalar!$B$284</definedName>
    <definedName function="false" hidden="false" name="loot_repeat_3" vbProcedure="false">Sozlamalar!$B$285</definedName>
    <definedName function="false" hidden="false" name="march_speed" vbProcedure="false">Sozlamalar!$B$87</definedName>
    <definedName function="false" hidden="false" name="market_limit_base" vbProcedure="false">Sozlamalar!$B$192</definedName>
    <definedName function="false" hidden="false" name="market_limit_growth" vbProcedure="false">Sozlamalar!$B$193</definedName>
    <definedName function="false" hidden="false" name="market_moonlight_mult" vbProcedure="false">Sozlamalar!$B$269</definedName>
    <definedName function="false" hidden="false" name="market_rate_base" vbProcedure="false">Sozlamalar!$B$190</definedName>
    <definedName function="false" hidden="false" name="market_rate_step" vbProcedure="false">Sozlamalar!$B$191</definedName>
    <definedName function="false" hidden="false" name="market_tax_base" vbProcedure="false">Sozlamalar!$B$194</definedName>
    <definedName function="false" hidden="false" name="market_tax_step" vbProcedure="false">Sozlamalar!$B$195</definedName>
    <definedName function="false" hidden="false" name="match_offers" vbProcedure="false">Sozlamalar!$B$79</definedName>
    <definedName function="false" hidden="false" name="match_refresh_min" vbProcedure="false">Sozlamalar!$B$80</definedName>
    <definedName function="false" hidden="false" name="moonlight_cp_penalty" vbProcedure="false">Sozlamalar!$B$268</definedName>
    <definedName function="false" hidden="false" name="moonlight_need" vbProcedure="false">Sozlamalar!$B$115</definedName>
    <definedName function="false" hidden="false" name="moonlight_need_level" vbProcedure="false">Sozlamalar!$B$265</definedName>
    <definedName function="false" hidden="false" name="moonlight_passive_base" vbProcedure="false">Sozlamalar!$B$266</definedName>
    <definedName function="false" hidden="false" name="moonstone_per_usd" vbProcedure="false">Sozlamalar!$B$68</definedName>
    <definedName function="false" hidden="false" name="moon_altar_bonus" vbProcedure="false">Sozlamalar!$B$267</definedName>
    <definedName function="false" hidden="false" name="need_base" vbProcedure="false">Sozlamalar!$B$111</definedName>
    <definedName function="false" hidden="false" name="need_growth" vbProcedure="false">Sozlamalar!$B$112</definedName>
    <definedName function="false" hidden="false" name="night_raid_speed_bonus" vbProcedure="false">Sozlamalar!$B$312</definedName>
    <definedName function="false" hidden="false" name="oasis_bonus_water" vbProcedure="false">Sozlamalar!$B$165</definedName>
    <definedName function="false" hidden="false" name="oasis_count" vbProcedure="false">Sozlamalar!$B$164</definedName>
    <definedName function="false" hidden="false" name="oasis_hold_h" vbProcedure="false">Sozlamalar!$B$166</definedName>
    <definedName function="false" hidden="false" name="occupancy_exp" vbProcedure="false">Sozlamalar!$B$50</definedName>
    <definedName function="false" hidden="false" name="occupancy_min" vbProcedure="false">Sozlamalar!$B$51</definedName>
    <definedName function="false" hidden="false" name="occupancy_normal" vbProcedure="false">Sozlamalar!$B$49</definedName>
    <definedName function="false" hidden="false" name="offline_after_min" vbProcedure="false">Sozlamalar!$B$304</definedName>
    <definedName function="false" hidden="false" name="offline_prod_rate" vbProcedure="false">Sozlamalar!$B$55</definedName>
    <definedName function="false" hidden="false" name="offline_store_mult" vbProcedure="false">Sozlamalar!$B$54</definedName>
    <definedName function="false" hidden="false" name="offline_store_plus" vbProcedure="false">Sozlamalar!$B$303</definedName>
    <definedName function="false" hidden="false" name="pack_base" vbProcedure="false">Sozlamalar!$B$105</definedName>
    <definedName function="false" hidden="false" name="pack_growth" vbProcedure="false">Sozlamalar!$B$106</definedName>
    <definedName function="false" hidden="false" name="pack_solo_size" vbProcedure="false">Sozlamalar!$B$104</definedName>
    <definedName function="false" hidden="false" name="pack_unlock_level" vbProcedure="false">Sozlamalar!$B$20</definedName>
    <definedName function="false" hidden="false" name="pair_limit" vbProcedure="false">Sozlamalar!$B$282</definedName>
    <definedName function="false" hidden="false" name="prey_kg_per_wolf" vbProcedure="false">Sozlamalar!$B$259</definedName>
    <definedName function="false" hidden="false" name="price_season_pass" vbProcedure="false">Sozlamalar!$B$69</definedName>
    <definedName function="false" hidden="false" name="price_second_queue" vbProcedure="false">Sozlamalar!$B$70</definedName>
    <definedName function="false" hidden="false" name="prod_base" vbProcedure="false">Sozlamalar!$B$127</definedName>
    <definedName function="false" hidden="false" name="prod_growth" vbProcedure="false">Sozlamalar!$B$128</definedName>
    <definedName function="false" hidden="false" name="promote_cost_share" vbProcedure="false">Sozlamalar!$B$46</definedName>
    <definedName function="false" hidden="false" name="promote_loss" vbProcedure="false">Sozlamalar!$B$45</definedName>
    <definedName function="false" hidden="false" name="promote_time_share" vbProcedure="false">Sozlamalar!$B$47</definedName>
    <definedName function="false" hidden="false" name="quest_daily_cap" vbProcedure="false">Sozlamalar!$B$36</definedName>
    <definedName function="false" hidden="false" name="quest_daily_count" vbProcedure="false">Sozlamalar!$B$34</definedName>
    <definedName function="false" hidden="false" name="quest_milestone_cap" vbProcedure="false">Sozlamalar!$B$38</definedName>
    <definedName function="false" hidden="false" name="quest_safe_cap" vbProcedure="false">Sozlamalar!$B$40</definedName>
    <definedName function="false" hidden="false" name="quest_speedup_min" vbProcedure="false">Sozlamalar!$B$39</definedName>
    <definedName function="false" hidden="false" name="quest_weekly_cap" vbProcedure="false">Sozlamalar!$B$37</definedName>
    <definedName function="false" hidden="false" name="quest_weekly_count" vbProcedure="false">Sozlamalar!$B$35</definedName>
    <definedName function="false" hidden="false" name="queue_cancel_refund" vbProcedure="false">Sozlamalar!$B$301</definedName>
    <definedName function="false" hidden="false" name="raid_coef" vbProcedure="false">Sozlamalar!$B$223</definedName>
    <definedName function="false" hidden="false" name="reserve_days" vbProcedure="false">Sozlamalar!$B$116</definedName>
    <definedName function="false" hidden="false" name="retreat_loss" vbProcedure="false">Sozlamalar!$B$280</definedName>
    <definedName function="false" hidden="false" name="return_price_coef" vbProcedure="false">Sozlamalar!$B$71</definedName>
    <definedName function="false" hidden="false" name="return_speedup_max" vbProcedure="false">Sozlamalar!$B$72</definedName>
    <definedName function="false" hidden="false" name="revenge_bonus" vbProcedure="false">Sozlamalar!$B$238</definedName>
    <definedName function="false" hidden="false" name="role_cap_base" vbProcedure="false">Sozlamalar!$B$168</definedName>
    <definedName function="false" hidden="false" name="role_cap_growth" vbProcedure="false">Sozlamalar!$B$169</definedName>
    <definedName function="false" hidden="false" name="role_cap_penalty_exp" vbProcedure="false">Sozlamalar!$B$170</definedName>
    <definedName function="false" hidden="false" name="role_cap_penalty_max" vbProcedure="false">Sozlamalar!$B$171</definedName>
    <definedName function="false" hidden="false" name="sample_alpha_level" vbProcedure="false">Sozlamalar!$B$143</definedName>
    <definedName function="false" hidden="false" name="scout_cooldown_min" vbProcedure="false">Sozlamalar!$B$234</definedName>
    <definedName function="false" hidden="false" name="scout_exact" vbProcedure="false">Sozlamalar!$B$233</definedName>
    <definedName function="false" hidden="false" name="scout_fail_injury" vbProcedure="false">Sozlamalar!$B$236</definedName>
    <definedName function="false" hidden="false" name="scout_full" vbProcedure="false">Sozlamalar!$B$232</definedName>
    <definedName function="false" hidden="false" name="scout_loot_accuracy" vbProcedure="false">Sozlamalar!$B$237</definedName>
    <definedName function="false" hidden="false" name="scout_partial" vbProcedure="false">Sozlamalar!$B$231</definedName>
    <definedName function="false" hidden="false" name="scout_report_min" vbProcedure="false">Sozlamalar!$B$235</definedName>
    <definedName function="false" hidden="false" name="scout_speed" vbProcedure="false">Sozlamalar!$B$88</definedName>
    <definedName function="false" hidden="false" name="season_days" vbProcedure="false">Sozlamalar!$B$202</definedName>
    <definedName function="false" hidden="false" name="season_final_days_mult" vbProcedure="false">Sozlamalar!$B$205</definedName>
    <definedName function="false" hidden="false" name="season_min_battles" vbProcedure="false">Sozlamalar!$B$204</definedName>
    <definedName function="false" hidden="false" name="season_new_account_d" vbProcedure="false">Sozlamalar!$B$207</definedName>
    <definedName function="false" hidden="false" name="season_player_cap" vbProcedure="false">Sozlamalar!$B$203</definedName>
    <definedName function="false" hidden="false" name="second_queue_free_level" vbProcedure="false">Sozlamalar!$B$302</definedName>
    <definedName function="false" hidden="false" name="share_attacker" vbProcedure="false">Sozlamalar!$B$145</definedName>
    <definedName function="false" hidden="false" name="share_defender" vbProcedure="false">Sozlamalar!$B$146</definedName>
    <definedName function="false" hidden="false" name="share_hunter" vbProcedure="false">Sozlamalar!$B$147</definedName>
    <definedName function="false" hidden="false" name="share_scout" vbProcedure="false">Sozlamalar!$B$144</definedName>
    <definedName function="false" hidden="false" name="shield_after_raid_h" vbProcedure="false">Sozlamalar!$B$308</definedName>
    <definedName function="false" hidden="false" name="shield_after_raid_loss" vbProcedure="false">Sozlamalar!$B$307</definedName>
    <definedName function="false" hidden="false" name="shield_newbie_level" vbProcedure="false">Sozlamalar!$B$226</definedName>
    <definedName function="false" hidden="false" name="shield_two_losses_h" vbProcedure="false">Sozlamalar!$B$309</definedName>
    <definedName function="false" hidden="false" name="sleep_shield_h" vbProcedure="false">Sozlamalar!$B$61</definedName>
    <definedName function="false" hidden="false" name="solo_hunt_cooldown_min" vbProcedure="false">Sozlamalar!$B$255</definedName>
    <definedName function="false" hidden="false" name="solo_hunt_max_level" vbProcedure="false">Sozlamalar!$B$254</definedName>
    <definedName function="false" hidden="false" name="speedup_base_price" vbProcedure="false">Sozlamalar!$B$65</definedName>
    <definedName function="false" hidden="false" name="speedup_block_h" vbProcedure="false">Sozlamalar!$B$67</definedName>
    <definedName function="false" hidden="false" name="speedup_daily_cap" vbProcedure="false">Sozlamalar!$B$64</definedName>
    <definedName function="false" hidden="false" name="speedup_price_growth" vbProcedure="false">Sozlamalar!$B$66</definedName>
    <definedName function="false" hidden="false" name="stage_early" vbProcedure="false">Sozlamalar!$B$22</definedName>
    <definedName function="false" hidden="false" name="stage_late" vbProcedure="false">Sozlamalar!$B$26</definedName>
    <definedName function="false" hidden="false" name="stage_late_level" vbProcedure="false">Sozlamalar!$B$27</definedName>
    <definedName function="false" hidden="false" name="stage_mid" vbProcedure="false">Sozlamalar!$B$23</definedName>
    <definedName function="false" hidden="false" name="stage_mid_level" vbProcedure="false">Sozlamalar!$B$24</definedName>
    <definedName function="false" hidden="false" name="stage_normal" vbProcedure="false">Sozlamalar!$B$25</definedName>
    <definedName function="false" hidden="false" name="stat_hp_base" vbProcedure="false">Sozlamalar!$B$13</definedName>
    <definedName function="false" hidden="false" name="stat_hp_growth" vbProcedure="false">Sozlamalar!$B$14</definedName>
    <definedName function="false" hidden="false" name="stat_power_base" vbProcedure="false">Sozlamalar!$B$9</definedName>
    <definedName function="false" hidden="false" name="stat_power_growth" vbProcedure="false">Sozlamalar!$B$10</definedName>
    <definedName function="false" hidden="false" name="stat_speed_base" vbProcedure="false">Sozlamalar!$B$11</definedName>
    <definedName function="false" hidden="false" name="stat_speed_growth" vbProcedure="false">Sozlamalar!$B$12</definedName>
    <definedName function="false" hidden="false" name="store_base" vbProcedure="false">Sozlamalar!$B$118</definedName>
    <definedName function="false" hidden="false" name="store_growth" vbProcedure="false">Sozlamalar!$B$119</definedName>
    <definedName function="false" hidden="false" name="thirst_speed_penalty" vbProcedure="false">Sozlamalar!$B$270</definedName>
    <definedName function="false" hidden="false" name="tier_coef" vbProcedure="false">Sozlamalar!$B$140</definedName>
    <definedName function="false" hidden="false" name="tier_step_building" vbProcedure="false">Sozlamalar!$B$149</definedName>
    <definedName function="false" hidden="false" name="tier_step_level" vbProcedure="false">Sozlamalar!$B$141</definedName>
    <definedName function="false" hidden="false" name="time_coef_battle_ground" vbProcedure="false">Sozlamalar!$B$176</definedName>
    <definedName function="false" hidden="false" name="time_coef_defense_wall" vbProcedure="false">Sozlamalar!$B$177</definedName>
    <definedName function="false" hidden="false" name="time_coef_food_cave" vbProcedure="false">Sozlamalar!$B$173</definedName>
    <definedName function="false" hidden="false" name="time_coef_hospital" vbProcedure="false">Sozlamalar!$B$179</definedName>
    <definedName function="false" hidden="false" name="time_coef_hunt_path" vbProcedure="false">Sozlamalar!$B$178</definedName>
    <definedName function="false" hidden="false" name="time_coef_market" vbProcedure="false">Sozlamalar!$B$180</definedName>
    <definedName function="false" hidden="false" name="time_coef_scout_rock" vbProcedure="false">Sozlamalar!$B$175</definedName>
    <definedName function="false" hidden="false" name="time_coef_workshop" vbProcedure="false">Sozlamalar!$B$174</definedName>
    <definedName function="false" hidden="false" name="time_growth" vbProcedure="false">Sozlamalar!$B$135</definedName>
    <definedName function="false" hidden="false" name="train_bone_base" vbProcedure="false">Sozlamalar!$B$43</definedName>
    <definedName function="false" hidden="false" name="train_coef_max" vbProcedure="false">Sozlamalar!$B$52</definedName>
    <definedName function="false" hidden="false" name="train_meat_base" vbProcedure="false">Sozlamalar!$B$42</definedName>
    <definedName function="false" hidden="false" name="train_speed_per_level" vbProcedure="false">Sozlamalar!$B$154</definedName>
    <definedName function="false" hidden="false" name="train_time_min" vbProcedure="false">Sozlamalar!$B$44</definedName>
    <definedName function="false" hidden="false" name="trap_chance" vbProcedure="false">Sozlamalar!$B$278</definedName>
    <definedName function="false" hidden="false" name="trap_damage" vbProcedure="false">Sozlamalar!$B$279</definedName>
    <definedName function="false" hidden="false" name="tutorial_end_level" vbProcedure="false">Sozlamalar!$B$29</definedName>
    <definedName function="false" hidden="false" name="tutorial_free_speedups" vbProcedure="false">Sozlamalar!$B$31</definedName>
    <definedName function="false" hidden="false" name="tutorial_skip_step" vbProcedure="false">Sozlamalar!$B$32</definedName>
    <definedName function="false" hidden="false" name="tutorial_speedup_min" vbProcedure="false">Sozlamalar!$B$310</definedName>
    <definedName function="false" hidden="false" name="tutorial_target_min" vbProcedure="false">Sozlamalar!$B$30</definedName>
    <definedName function="false" hidden="false" name="vacation_delay_h" vbProcedure="false">Sozlamalar!$B$73</definedName>
    <definedName function="false" hidden="false" name="vacation_free_h" vbProcedure="false">Sozlamalar!$B$76</definedName>
    <definedName function="false" hidden="false" name="vacation_max_h" vbProcedure="false">Sozlamalar!$B$75</definedName>
    <definedName function="false" hidden="false" name="vacation_min_h" vbProcedure="false">Sozlamalar!$B$74</definedName>
    <definedName function="false" hidden="false" name="vacation_price_day" vbProcedure="false">Sozlamalar!$B$77</definedName>
    <definedName function="false" hidden="false" name="wall_bonus_per_level" vbProcedure="false">Sozlamalar!$B$281</definedName>
    <definedName function="false" hidden="false" name="war_decline_penalty" vbProcedure="false">Sozlamalar!$B$311</definedName>
    <definedName function="false" hidden="false" name="war_deposit" vbProcedure="false">Sozlamalar!$B$95</definedName>
    <definedName function="false" hidden="false" name="war_duration_h" vbProcedure="false">Sozlamalar!$B$90</definedName>
    <definedName function="false" hidden="false" name="war_loser_death_share" vbProcedure="false">Sozlamalar!$B$99</definedName>
    <definedName function="false" hidden="false" name="war_loser_loss" vbProcedure="false">Sozlamalar!$B$97</definedName>
    <definedName function="false" hidden="false" name="war_loser_reward_share" vbProcedure="false">Sozlamalar!$B$101</definedName>
    <definedName function="false" hidden="false" name="war_member_cap" vbProcedure="false">Sozlamalar!$B$100</definedName>
    <definedName function="false" hidden="false" name="war_min_members" vbProcedure="false">Sozlamalar!$B$93</definedName>
    <definedName function="false" hidden="false" name="war_min_participation" vbProcedure="false">Sozlamalar!$B$92</definedName>
    <definedName function="false" hidden="false" name="war_power_window" vbProcedure="false">Sozlamalar!$B$91</definedName>
    <definedName function="false" hidden="false" name="war_repeat_block_d" vbProcedure="false">Sozlamalar!$B$94</definedName>
    <definedName function="false" hidden="false" name="war_winner_death_share" vbProcedure="false">Sozlamalar!$B$98</definedName>
    <definedName function="false" hidden="false" name="war_winner_loss" vbProcedure="false">Sozlamalar!$B$96</definedName>
    <definedName function="false" hidden="false" name="water_need_base" vbProcedure="false">Sozlamalar!$B$113</definedName>
    <definedName function="false" hidden="false" name="water_need_growth" vbProcedure="false">Sozlamalar!$B$114</definedName>
    <definedName function="false" hidden="false" name="water_passive_base" vbProcedure="false">Sozlamalar!$B$120</definedName>
    <definedName function="false" hidden="false" name="water_passive_growth" vbProcedure="false">Sozlamalar!$B$121</definedName>
    <definedName function="false" hidden="false" name="window_expand_min" vbProcedure="false">Sozlamalar!$B$227</definedName>
    <definedName function="false" hidden="false" name="window_max" vbProcedure="false">Sozlamalar!$B$228</definedName>
    <definedName function="false" hidden="false" name="window_min_pool" vbProcedure="false">Sozlamalar!$B$229</definedName>
    <definedName function="false" hidden="false" name="workshop_buffer_h" vbProcedure="false">Sozlamalar!$B$129</definedName>
    <definedName function="false" hidden="false" name="xp_base" vbProcedure="false">Sozlamalar!$B$6</definedName>
    <definedName function="false" hidden="false" name="xp_build_coef" vbProcedure="false">Sozlamalar!$B$241</definedName>
    <definedName function="false" hidden="false" name="xp_growth" vbProcedure="false">Sozlamalar!$B$7</definedName>
    <definedName function="false" hidden="false" name="xp_hunt_coef" vbProcedure="false">Sozlamalar!$B$240</definedName>
    <definedName function="false" hidden="false" name="xp_pvp_coef" vbProcedure="false">Sozlamalar!$B$242</definedName>
    <definedName function="false" hidden="false" name="xp_pvp_draw" vbProcedure="false">Sozlamalar!$B$244</definedName>
    <definedName function="false" hidden="false" name="xp_pvp_loss" vbProcedure="false">Sozlamalar!$B$245</definedName>
    <definedName function="false" hidden="false" name="xp_pvp_win" vbProcedure="false">Sozlamalar!$B$243</definedName>
    <definedName function="false" hidden="false" name="xp_quest_share" vbProcedure="false">Sozlamalar!$B$246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<sst xmlns="http://schemas.openxmlformats.org/spreadsheetml/2006/main" count="2639" uniqueCount="1923">
  <si>
    <t xml:space="preserve">Blue Wolf — oʻyinchi darajalari (1–25)</t>
  </si>
  <si>
    <t xml:space="preserve">Eng zaifdan eng kuchligacha. Koʻk raqamlar — qoʻlda sozlanadigan modifikatorlar.</t>
  </si>
  <si>
    <t xml:space="preserve">Daraja</t>
  </si>
  <si>
    <t xml:space="preserve">Boʻri nomi</t>
  </si>
  <si>
    <t xml:space="preserve">Ilmiy / afsonaviy nom</t>
  </si>
  <si>
    <t xml:space="preserve">Toifa</t>
  </si>
  <si>
    <t xml:space="preserve">Vazni (kg)</t>
  </si>
  <si>
    <t xml:space="preserve">Toifa koeff.</t>
  </si>
  <si>
    <t xml:space="preserve">Kuch mod.</t>
  </si>
  <si>
    <t xml:space="preserve">Tezlik mod.</t>
  </si>
  <si>
    <t xml:space="preserve">Daraja narxi (XP)</t>
  </si>
  <si>
    <t xml:space="preserve">Jami XP</t>
  </si>
  <si>
    <t xml:space="preserve">Kuch</t>
  </si>
  <si>
    <t xml:space="preserve">Tezlik</t>
  </si>
  <si>
    <t xml:space="preserve">Chidam (HP)</t>
  </si>
  <si>
    <t xml:space="preserve">Jangovar quvvat</t>
  </si>
  <si>
    <t xml:space="preserve">Toʻda hajmi</t>
  </si>
  <si>
    <t xml:space="preserve">Bosqich koeff.</t>
  </si>
  <si>
    <t xml:space="preserve">Ochiladigan imkoniyat</t>
  </si>
  <si>
    <t xml:space="preserve">Honsyu boʻrisi</t>
  </si>
  <si>
    <t xml:space="preserve">Canis lupus hodophilax</t>
  </si>
  <si>
    <t xml:space="preserve">Haqiqiy</t>
  </si>
  <si>
    <t xml:space="preserve">Yolgʻiz ov (alfa): kemiruvchi va qush; In</t>
  </si>
  <si>
    <t xml:space="preserve">Efiopiya boʻrisi</t>
  </si>
  <si>
    <t xml:space="preserve">Canis simensis</t>
  </si>
  <si>
    <t xml:space="preserve">Oziq gʻori va Ustaxona qoyasi</t>
  </si>
  <si>
    <t xml:space="preserve">Arab boʻrisi</t>
  </si>
  <si>
    <t xml:space="preserve">Canis lupus arabs</t>
  </si>
  <si>
    <t xml:space="preserve">Ov soʻqmogʻi, birinchi ovchi, quyon ovi</t>
  </si>
  <si>
    <t xml:space="preserve">Hind boʻrisi</t>
  </si>
  <si>
    <t xml:space="preserve">Canis lupus pallipes</t>
  </si>
  <si>
    <t xml:space="preserve">🔓 TOʻDA: qoʻshin 10 askar · Jang maydoni, Razvedka qoyasi, Himoya devori · yovvoyi toʻdalarga (bot) hujum · ov guruhi · klan va lager (v2)</t>
  </si>
  <si>
    <t xml:space="preserve">Qizil boʻri</t>
  </si>
  <si>
    <t xml:space="preserve">Canis rufus</t>
  </si>
  <si>
    <t xml:space="preserve">Yirik oʻlja — jayron (kamida 2 boʻri)</t>
  </si>
  <si>
    <t xml:space="preserve">Italyan boʻrisi</t>
  </si>
  <si>
    <t xml:space="preserve">Canis lupus italicus</t>
  </si>
  <si>
    <t xml:space="preserve">🏥 Shifo gʻori · suv oazisi (v2)</t>
  </si>
  <si>
    <t xml:space="preserve">Meksika boʻrisi</t>
  </si>
  <si>
    <t xml:space="preserve">Canis lupus baileyi</t>
  </si>
  <si>
    <t xml:space="preserve">🔓 Haqiqiy oʻyinchilarga hujum (qalqon tugaydi) · reyting va liga (v2)</t>
  </si>
  <si>
    <t xml:space="preserve">Sharqiy boʻri</t>
  </si>
  <si>
    <t xml:space="preserve">Canis lycaon</t>
  </si>
  <si>
    <t xml:space="preserve">Toʻda urushi (v2) · oʻt oazisi (v2)</t>
  </si>
  <si>
    <t xml:space="preserve">Iberiya boʻrisi</t>
  </si>
  <si>
    <t xml:space="preserve">Canis lupus signatus</t>
  </si>
  <si>
    <t xml:space="preserve">🛒 Bozor · toʻda lavozimlari (v2)</t>
  </si>
  <si>
    <t xml:space="preserve">Dasht boʻrisi</t>
  </si>
  <si>
    <t xml:space="preserve">Canis lupus campestris</t>
  </si>
  <si>
    <t xml:space="preserve">Ikkinchi qurilish navbati — hammaga bepul</t>
  </si>
  <si>
    <t xml:space="preserve">Himolay boʻrisi</t>
  </si>
  <si>
    <t xml:space="preserve">Canis lupus chanco</t>
  </si>
  <si>
    <t xml:space="preserve">Co-op boss: togʻ ayigʻi (v3)</t>
  </si>
  <si>
    <t xml:space="preserve">Ezo boʻrisi</t>
  </si>
  <si>
    <t xml:space="preserve">Canis lupus hattai</t>
  </si>
  <si>
    <t xml:space="preserve">Toʻda xazinasi (v2) · tosh koni (v2)</t>
  </si>
  <si>
    <t xml:space="preserve">Tibet boʻrisi</t>
  </si>
  <si>
    <t xml:space="preserve">Canis lupus filchneri</t>
  </si>
  <si>
    <t xml:space="preserve">Himoya urushi (v3)</t>
  </si>
  <si>
    <t xml:space="preserve">Arktika boʻrisi</t>
  </si>
  <si>
    <t xml:space="preserve">Canis lupus arctos</t>
  </si>
  <si>
    <t xml:space="preserve">Haftalik turnir (v3)</t>
  </si>
  <si>
    <t xml:space="preserve">Buyuk tekislik boʻrisi</t>
  </si>
  <si>
    <t xml:space="preserve">Canis lupus nubilus</t>
  </si>
  <si>
    <t xml:space="preserve">Toʻda taktikasi (v3)</t>
  </si>
  <si>
    <t xml:space="preserve">Yevroosiyo kulrang boʻrisi</t>
  </si>
  <si>
    <t xml:space="preserve">Canis lupus lupus</t>
  </si>
  <si>
    <t xml:space="preserve">Suyak dalasi (v2) · 20v20 urush (v3)</t>
  </si>
  <si>
    <t xml:space="preserve">Tundra boʻrisi</t>
  </si>
  <si>
    <t xml:space="preserve">Canis lupus albus</t>
  </si>
  <si>
    <t xml:space="preserve">Toʻdalar ittifoqi (v3)</t>
  </si>
  <si>
    <t xml:space="preserve">Alyaska ichki boʻrisi</t>
  </si>
  <si>
    <t xml:space="preserve">Canis lupus pambasileus</t>
  </si>
  <si>
    <t xml:space="preserve">Elite reyd (v3)</t>
  </si>
  <si>
    <t xml:space="preserve">Makkenzi vodiysi boʻrisi</t>
  </si>
  <si>
    <t xml:space="preserve">Canis lupus occidentalis</t>
  </si>
  <si>
    <t xml:space="preserve">Alfa unvoni, server reytingi (v2)</t>
  </si>
  <si>
    <t xml:space="preserve">Beringiya boʻrisi</t>
  </si>
  <si>
    <t xml:space="preserve">Canis lupus (Beringian)</t>
  </si>
  <si>
    <t xml:space="preserve">Qadimgi</t>
  </si>
  <si>
    <t xml:space="preserve">🌙 Oy nuri ehtiyoji va passivi · Oy mehrobi (v2) · muz davri zonasi (v3)</t>
  </si>
  <si>
    <t xml:space="preserve">Dahshatli boʻri</t>
  </si>
  <si>
    <t xml:space="preserve">Aenocyon dirus</t>
  </si>
  <si>
    <t xml:space="preserve">Afsona bossi (v3)</t>
  </si>
  <si>
    <t xml:space="preserve">Amarok</t>
  </si>
  <si>
    <t xml:space="preserve">Inuit afsonasi</t>
  </si>
  <si>
    <t xml:space="preserve">Mifologik</t>
  </si>
  <si>
    <t xml:space="preserve">Tungi reyd: 22:00–06:00 yurish tezligi +25%</t>
  </si>
  <si>
    <t xml:space="preserve">Geri va Freki</t>
  </si>
  <si>
    <t xml:space="preserve">Skandinaviya afsonasi</t>
  </si>
  <si>
    <t xml:space="preserve">Juft hujum (v3)</t>
  </si>
  <si>
    <t xml:space="preserve">Fenrir</t>
  </si>
  <si>
    <t xml:space="preserve">Zanjirni uzish: urushdan keyin jarohatlanganlar 2× tez davolanadi</t>
  </si>
  <si>
    <t xml:space="preserve">Koʻk Boʻri</t>
  </si>
  <si>
    <t xml:space="preserve">Koʻkboʻri / Boʻrte Chino</t>
  </si>
  <si>
    <t xml:space="preserve">Koʻk Boʻri unvoni · klanga +10% ishlab chiqarish (kuch emas)</t>
  </si>
  <si>
    <t xml:space="preserve">JAMI (1→25 darajagacha kerakli XP)</t>
  </si>
  <si>
    <t xml:space="preserve">Formulalar: Daraja narxi = ROUND(Bazaviy XP × XP oʻsishi^(daraja−2) × bosqich koeff., −1)  ·  Kuch = Bazaviy kuch × Kuch oʻsishi^(daraja−1) × Toifa koeff. × Kuch mod. Barcha koeffitsientlar Sozlamalar varagʻidan (nomlangan kataklar).</t>
  </si>
  <si>
    <t xml:space="preserve">Jangovar quvvat (CP) = Kuch×2 + Tezlik×1.5 + Chidam×0.5 — matchmaking va reyting uchun shu raqamdan foydalaning.</t>
  </si>
  <si>
    <t xml:space="preserve">Kuch mod. va Tezlik mod. — har bir boʻrining xarakteri (choʻl boʻrilari tezroq, yirik boʻrilar kuchliroq). Faqat shu ikki ustun qoʻlda kiritiladi.</t>
  </si>
  <si>
    <t xml:space="preserve">Vazn ustuni — haqiqiy zoologik oʻrtacha vazn; balansga taʼsir qilmaydi, faqat oʻyin ichidagi tavsif uchun.</t>
  </si>
  <si>
    <t xml:space="preserve">Barcha bazaviy raqamlar foydalanuvchi tasdigʻi bilan taklif qilingan boshlangʻich qiymatlar — test natijasiga qarab Sozlamalar varagʻidan oʻzgartiriladi.</t>
  </si>
  <si>
    <t xml:space="preserve">Oziqlanish — har daraja uchun kunlik ehtiyoj</t>
  </si>
  <si>
    <t xml:space="preserve">Toʻda hajmi Darajalar varagʻidan olinadi. Koʻk ustun — oʻlja vazni, qoʻlda sozlanadi.</t>
  </si>
  <si>
    <t xml:space="preserve">1 boʻri (kg/kun)</t>
  </si>
  <si>
    <t xml:space="preserve">Toʻda goʻshti (kg/kun)</t>
  </si>
  <si>
    <t xml:space="preserve">Suv (birlik/kun)</t>
  </si>
  <si>
    <t xml:space="preserve">Oy nuri (kun)</t>
  </si>
  <si>
    <t xml:space="preserve">Asosiy oʻlja</t>
  </si>
  <si>
    <t xml:space="preserve">Oʻlja vazni (kg)</t>
  </si>
  <si>
    <t xml:space="preserve">Ov soni (kun)</t>
  </si>
  <si>
    <t xml:space="preserve">3 kunlik zaxira (kg)</t>
  </si>
  <si>
    <t xml:space="preserve">Kerakli Oziq gʻori darajasi</t>
  </si>
  <si>
    <t xml:space="preserve">Kemiruvchi</t>
  </si>
  <si>
    <t xml:space="preserve">Qush</t>
  </si>
  <si>
    <t xml:space="preserve">Quyon</t>
  </si>
  <si>
    <t xml:space="preserve">Sugʻur (toʻda ovi)</t>
  </si>
  <si>
    <t xml:space="preserve">Jayron</t>
  </si>
  <si>
    <t xml:space="preserve">Yovvoyi choʻchqa</t>
  </si>
  <si>
    <t xml:space="preserve">Kiyik</t>
  </si>
  <si>
    <t xml:space="preserve">Bugʻu</t>
  </si>
  <si>
    <t xml:space="preserve">Arxar</t>
  </si>
  <si>
    <t xml:space="preserve">Yovvoyi ot</t>
  </si>
  <si>
    <t xml:space="preserve">Los</t>
  </si>
  <si>
    <t xml:space="preserve">Bizon</t>
  </si>
  <si>
    <t xml:space="preserve">Mamont bolasi</t>
  </si>
  <si>
    <t xml:space="preserve">Mamont</t>
  </si>
  <si>
    <t xml:space="preserve">Ruh oʻljasi</t>
  </si>
  <si>
    <t xml:space="preserve">Formulalar: 1 boʻri ehtiyoji = Bazaviy + Oʻsish×(daraja-1)  ·  Toʻda goʻshti = shu × toʻda hajmi  ·  Ov soni = toʻda goʻshti ÷ oʻlja vazni (yuqoriga yaxlitlanadi)</t>
  </si>
  <si>
    <t xml:space="preserve">Kerakli gʻor darajasi = 3 kunlik zaxirani sigʻdiradigan eng kichik daraja. Bu oʻyinchini boʻri darajasi bilan birga omborni ham kuchaytirishga majbur qiladi.</t>
  </si>
  <si>
    <t xml:space="preserve">Oy nuri faqat 20-darajadan boshlab talab qilinadi — mifologik bosqichning sunʼiy cheklovi.</t>
  </si>
  <si>
    <t xml:space="preserve">Binolar — kuchaytirish narxi va samarasi (1–25 daraja)</t>
  </si>
  <si>
    <t xml:space="preserve">Har bino oʻyinchi darajasigacha koʻtariladi: bino darajasi = maksimum oʻyinchi darajasi.</t>
  </si>
  <si>
    <t xml:space="preserve">1. OZIQ GʻORI — goʻsht, suv, shifobaxsh oʻt va oy nuri saqlaydi (har biri alohida sigʻim)</t>
  </si>
  <si>
    <t xml:space="preserve">Sigʻim</t>
  </si>
  <si>
    <t xml:space="preserve">Passiv suv (soat)</t>
  </si>
  <si>
    <t xml:space="preserve">Oflayn sigʻim (2×)</t>
  </si>
  <si>
    <t xml:space="preserve">Himoya</t>
  </si>
  <si>
    <t xml:space="preserve">Narx: tosh</t>
  </si>
  <si>
    <t xml:space="preserve">Narx: shox-shabba</t>
  </si>
  <si>
    <t xml:space="preserve">Qurilish vaqti (soat)</t>
  </si>
  <si>
    <t xml:space="preserve">2. USTAXONA QOYASI — tosh, shox-shabba, teri, suyak yigʻadi</t>
  </si>
  <si>
    <t xml:space="preserve">Ishlab chiqarish (soat)</t>
  </si>
  <si>
    <t xml:space="preserve">Kunlik ishlab chiqarish</t>
  </si>
  <si>
    <t xml:space="preserve">Bufer (10 soat)</t>
  </si>
  <si>
    <t xml:space="preserve">Oflayn bufer (2×)</t>
  </si>
  <si>
    <t xml:space="preserve">Narx: suyak</t>
  </si>
  <si>
    <t xml:space="preserve">3. RAZVEDKA QOYASI — 🔍 razvedkachi tieri</t>
  </si>
  <si>
    <t xml:space="preserve">Ochadigan tier</t>
  </si>
  <si>
    <t xml:space="preserve">Askar sigʻimi</t>
  </si>
  <si>
    <t xml:space="preserve">Mashq tezligi</t>
  </si>
  <si>
    <t xml:space="preserve">Narx: teri</t>
  </si>
  <si>
    <t xml:space="preserve">4. JANG MAYDONI — ⚔️ hujumchi tieri</t>
  </si>
  <si>
    <t xml:space="preserve">5. HIMOYA DEVORI — 🛡 himoyachi tieri</t>
  </si>
  <si>
    <t xml:space="preserve">6. OV SOʻQMOGʻI — 🥩 ovchi tieri</t>
  </si>
  <si>
    <t xml:space="preserve">7. SHIFO GʻORI (KASALXONA) — jarohatlangan boʻrilarni davolaydi</t>
  </si>
  <si>
    <t xml:space="preserve">Shifo sigʻimi (boʻri)</t>
  </si>
  <si>
    <t xml:space="preserve">Davolash vaqti (daqiqa)</t>
  </si>
  <si>
    <t xml:space="preserve">8. BOZOR — resurslarni almashtirish va toʻda ichida savdo</t>
  </si>
  <si>
    <t xml:space="preserve">Almashinuv kursi</t>
  </si>
  <si>
    <t xml:space="preserve">Kunlik limit</t>
  </si>
  <si>
    <t xml:space="preserve">Soliq</t>
  </si>
  <si>
    <t xml:space="preserve">Qoida: hech bir bino oʻyinchi darajasidan oshmaydi — 12-darajali oʻyinchida har bino eng koʻpi bilan 12-daraja.</t>
  </si>
  <si>
    <t xml:space="preserve">Har rolning tieri: MAX(1; MIN(oʻyinchi darajasi ÷ 4 ; SHU ROL binosi ÷ 4 ; 6)). 1-tier har doim ochiq; tier 6 uchun bino 24-darajaga chiqishi kerak.</t>
  </si>
  <si>
    <t xml:space="preserve">Ustaxona soatlik ishlab chiqarishini oʻyinchi 4 ta resurs orasida oʻzi taqsimlaydi. Ishlab chiqarish avval Ustaxona buferiga tushadi va “Yigʻib olish” bilan omborga oʻtadi; bufer toʻlsa ishlab chiqarish toʻxtaydi. Qurilish resurslari ombori cheklanmagan. Goʻsht bino narxiga kirmaydi.</t>
  </si>
  <si>
    <t xml:space="preserve">Barcha qiymatlar formulalar bilan Sozlamalar varagʻidan hisoblanadi (narx oʻsishi 1.30, vaqt oʻsishi 1.25, bosqich koeffitsientlari).</t>
  </si>
  <si>
    <t xml:space="preserve">Umumiy bogʻlanish — daraja, jang, oziq va binolar bir jadvalda</t>
  </si>
  <si>
    <t xml:space="preserve">Boshqa varaqlardan formulalar orqali yigʻiladi — Sozlamalar oʻzgarsa shu jadval ham oʻzgaradi.</t>
  </si>
  <si>
    <t xml:space="preserve">Goʻsht (kg/kun)</t>
  </si>
  <si>
    <t xml:space="preserve">Suv (kun)</t>
  </si>
  <si>
    <t xml:space="preserve">Kerakli Oziq gʻori</t>
  </si>
  <si>
    <t xml:space="preserve">Kunlik qurilish resursi</t>
  </si>
  <si>
    <t xml:space="preserve">Kerakli Ustaxona</t>
  </si>
  <si>
    <t xml:space="preserve">Kunlik ov (4 ov, kg)</t>
  </si>
  <si>
    <t xml:space="preserve">Bosqich</t>
  </si>
  <si>
    <t xml:space="preserve">Maks. tier</t>
  </si>
  <si>
    <t xml:space="preserve">🔍 Razvedkachi</t>
  </si>
  <si>
    <t xml:space="preserve">⚔️ Hujumchi</t>
  </si>
  <si>
    <t xml:space="preserve">🛡 Himoyachi</t>
  </si>
  <si>
    <t xml:space="preserve">🥩 Ovchi</t>
  </si>
  <si>
    <t xml:space="preserve">Kerakli rol binosi</t>
  </si>
  <si>
    <t xml:space="preserve">Toʻda jangovar quvvati</t>
  </si>
  <si>
    <t xml:space="preserve">1-darajaga nisbatan</t>
  </si>
  <si>
    <t xml:space="preserve">«Kunlik qurilish resursi» = Oziq gʻorini keyingi darajaga koʻtarish narxi (Binolar varagʻidan, bosqich koeffitsienti bilan) ÷ kuchaytirish rejasi (kun). «Kerakli Ustaxona» — shu miqdorni bir kunda ishlab chiqara oladigan eng kichik daraja. «Toʻda jangovar quvvati» — barcha askarlar maksimal tierda boʻlgandagi yuqori chegara.</t>
  </si>
  <si>
    <t xml:space="preserve">1–3 daraja — yolgʻiz bosqich (toʻda hajmi 1). 4-darajada toʻda, klan, PvP va toʻda janglari birdaniga ochiladi — oʻyinning ijtimoiy yadrosi shu yerdan boshlanadi.</t>
  </si>
  <si>
    <t xml:space="preserve">Oxirgi 5 ustun — toʻda slotlarining rollarga tavsiya etilgan taqsimoti. Oʻyinchi buni xohlaganicha oʻzgartiradi; jadval faqat boshlangʻich nuqta beradi.</t>
  </si>
  <si>
    <t xml:space="preserve">Asosiy trade-off: bitta toʻda ham ov qiladi, ham resurs yigʻadi, ham jangga chiqadi. Oʻyinchi har kuni shu taqsimotni tanlaydi.</t>
  </si>
  <si>
    <t xml:space="preserve">Askar rollari va tierlar — 4 rol × 6 tier</t>
  </si>
  <si>
    <t xml:space="preserve">Toʻda slotlari shu 4 rol orasida taqsimlanadi. Askarlar alohida daraja olmaydi — tier boʻyicha guruh holida kuchayadi.</t>
  </si>
  <si>
    <t xml:space="preserve">1. ROLLAR BAZASI (1-tier, alfa bonusisiz)</t>
  </si>
  <si>
    <t xml:space="preserve">Rol</t>
  </si>
  <si>
    <t xml:space="preserve">Vazifasi</t>
  </si>
  <si>
    <t xml:space="preserve">Mashq binosi</t>
  </si>
  <si>
    <t xml:space="preserve">Asosiy stat</t>
  </si>
  <si>
    <t xml:space="preserve">Chidam</t>
  </si>
  <si>
    <t xml:space="preserve">Ish unumi</t>
  </si>
  <si>
    <t xml:space="preserve">Ochilish darajasi</t>
  </si>
  <si>
    <t xml:space="preserve">Raqib toʻdasini koʻrish, tuzoq topish</t>
  </si>
  <si>
    <t xml:space="preserve">Razvedka qoyasi</t>
  </si>
  <si>
    <t xml:space="preserve">Reyd va toʻda janglari</t>
  </si>
  <si>
    <t xml:space="preserve">Jang maydoni</t>
  </si>
  <si>
    <t xml:space="preserve">In va omborni qoʻriqlash</t>
  </si>
  <si>
    <t xml:space="preserve">Himoya devori</t>
  </si>
  <si>
    <t xml:space="preserve">Ov: goʻsht va shifobaxsh oʻt</t>
  </si>
  <si>
    <t xml:space="preserve">Ov soʻqmogʻi</t>
  </si>
  <si>
    <t xml:space="preserve">5 × kunlik ehtiyoj kg/soat</t>
  </si>
  <si>
    <t xml:space="preserve">2. TIER TIZIMI</t>
  </si>
  <si>
    <t xml:space="preserve">Tier</t>
  </si>
  <si>
    <t xml:space="preserve">Nomi</t>
  </si>
  <si>
    <t xml:space="preserve">Kerakli alfa darajasi</t>
  </si>
  <si>
    <t xml:space="preserve">Stat koeffitsienti</t>
  </si>
  <si>
    <t xml:space="preserve">Yangi askar: goʻsht</t>
  </si>
  <si>
    <t xml:space="preserve">Yangi askar: suyak</t>
  </si>
  <si>
    <t xml:space="preserve">Yangi askar: vaqt (daq)</t>
  </si>
  <si>
    <t xml:space="preserve">Yosh</t>
  </si>
  <si>
    <t xml:space="preserve">Tajribali</t>
  </si>
  <si>
    <t xml:space="preserve">Urushchi</t>
  </si>
  <si>
    <t xml:space="preserve">Veteran</t>
  </si>
  <si>
    <t xml:space="preserve">Elita</t>
  </si>
  <si>
    <t xml:space="preserve">Afsonaviy</t>
  </si>
  <si>
    <t xml:space="preserve">3. BITTA ASKARNING JANGOVAR QUVVATI (CP) — namuna alfa darajasida</t>
  </si>
  <si>
    <t xml:space="preserve">Formula: (Kuch×2 + Tezlik×1.5 + Chidam×0.5) × tier koeffitsienti × (1 + alfa bonusi × alfa darajasi)</t>
  </si>
  <si>
    <t xml:space="preserve">4. QARSHI-KUCH UCHBURCHAGI (hujumdagi koeffitsient)</t>
  </si>
  <si>
    <t xml:space="preserve">Hujum qiluvchi ↓ / Himoyalanuvchi →</t>
  </si>
  <si>
    <t xml:space="preserve">Uchburchak: Himoyachi → Hujumchi → Razvedkachi → Himoyachi. Yashil — ustunlik, qizil — zaiflik.</t>
  </si>
  <si>
    <t xml:space="preserve">Askarlar alohida daraja olmaydi: bitta tugma butun rolni keyingi tierga koʻtaradi — telefon ekrani uchun shu qulay.</t>
  </si>
  <si>
    <t xml:space="preserve">Maks tier = MAX(1; MIN(alfa darajasi ÷ 4 ; SHU ROL binosi darajasi ÷ 4 ; 6)). 1-tier rol binosi qurilgan zahoti ochiq. Binolar 25 darajagacha, lekin oʻyinchi darajasidan oshmaydi.</t>
  </si>
  <si>
    <t xml:space="preserve">Ovchi 3-darajadan (Ov soʻqmogʻi bilan), qolgan 3 rol 4-darajada keladi. 1–3 darajada alfa oʻzi yolgʻiz ovlaydi.</t>
  </si>
  <si>
    <t xml:space="preserve">PvP oʻlja — reyddan olinadigan resurs va uning balansi</t>
  </si>
  <si>
    <t xml:space="preserve">Ombor zaxirasi, himoya foizi va hujumchi soni boshqa varaqlardan keladi. Oxirgi ustun chegara buzilganini darhol koʻrsatadi.</t>
  </si>
  <si>
    <t xml:space="preserve">Ombordagi zaxira (kg)</t>
  </si>
  <si>
    <t xml:space="preserve">Oziq gʻori</t>
  </si>
  <si>
    <t xml:space="preserve">Himoyalanmagan (kg)</t>
  </si>
  <si>
    <t xml:space="preserve">Hujumchi soni</t>
  </si>
  <si>
    <t xml:space="preserve">Hujumchi tier</t>
  </si>
  <si>
    <t xml:space="preserve">Yuk sigʻimi (kg)</t>
  </si>
  <si>
    <t xml:space="preserve">Maks oʻlja (kg)</t>
  </si>
  <si>
    <t xml:space="preserve">Kunlik ehtiyoj (kg)</t>
  </si>
  <si>
    <t xml:space="preserve">Oʻlja / kunlik ehtiyoj</t>
  </si>
  <si>
    <t xml:space="preserve">Holat</t>
  </si>
  <si>
    <t xml:space="preserve">Maqsad: eng past daraja</t>
  </si>
  <si>
    <t xml:space="preserve">Maqsad: eng yuqori daraja</t>
  </si>
  <si>
    <t xml:space="preserve">Nechta daraja</t>
  </si>
  <si>
    <t xml:space="preserve">Hujum holati</t>
  </si>
  <si>
    <t xml:space="preserve">Kengaygan: eng past</t>
  </si>
  <si>
    <t xml:space="preserve">Kengaygan: eng yuqori</t>
  </si>
  <si>
    <t xml:space="preserve">Kengaygan tanlov</t>
  </si>
  <si>
    <t xml:space="preserve">KOEFFITSIYENTLAR — maks oʻljaga koʻpaytiriladi</t>
  </si>
  <si>
    <t xml:space="preserve">QALQON TIZIMI</t>
  </si>
  <si>
    <t xml:space="preserve">DINAMIK OYNA — mos raqib topilmasa</t>
  </si>
  <si>
    <t xml:space="preserve">Kutish vaqti</t>
  </si>
  <si>
    <t xml:space="preserve">Oyna</t>
  </si>
  <si>
    <t xml:space="preserve">Havza kengligi</t>
  </si>
  <si>
    <t xml:space="preserve">Yangi oʻyinchi (1–6 daraja)</t>
  </si>
  <si>
    <t xml:space="preserve">Toʻliq — faqat botlarga hujum qila oladi (4–6 daraja)</t>
  </si>
  <si>
    <t xml:space="preserve">Maqsad 1 daraja past</t>
  </si>
  <si>
    <t xml:space="preserve">Pastga hujum kam foyda beradi</t>
  </si>
  <si>
    <t xml:space="preserve">Reydda yoʻqotgan</t>
  </si>
  <si>
    <t xml:space="preserve">0–30 daqiqa</t>
  </si>
  <si>
    <t xml:space="preserve">±1</t>
  </si>
  <si>
    <t xml:space="preserve">3 daraja</t>
  </si>
  <si>
    <t xml:space="preserve">Standart holat — eng adolatli janglar</t>
  </si>
  <si>
    <t xml:space="preserve">Maqsad teng darajada</t>
  </si>
  <si>
    <t xml:space="preserve">Teng jang — toʻliq oʻlja</t>
  </si>
  <si>
    <t xml:space="preserve">Ketma-ket 2 marta yutqazgan</t>
  </si>
  <si>
    <t xml:space="preserve">30–60 daqiqa</t>
  </si>
  <si>
    <t xml:space="preserve">±2</t>
  </si>
  <si>
    <t xml:space="preserve">5 daraja</t>
  </si>
  <si>
    <t xml:space="preserve">Havza kichik serverlarda kengayadi</t>
  </si>
  <si>
    <t xml:space="preserve">Maqsad 1 daraja yuqori</t>
  </si>
  <si>
    <t xml:space="preserve">Yuqoriga hujum ragʻbatlantiriladi</t>
  </si>
  <si>
    <t xml:space="preserve">Oʻzi hujum qilsa</t>
  </si>
  <si>
    <t xml:space="preserve">Qalqon darhol oʻchadi</t>
  </si>
  <si>
    <t xml:space="preserve">60 daqiqadan keyin</t>
  </si>
  <si>
    <t xml:space="preserve">±3</t>
  </si>
  <si>
    <t xml:space="preserve">7 daraja</t>
  </si>
  <si>
    <t xml:space="preserve">Eng chekka holat; koeffitsient kuchli jazolaydi</t>
  </si>
  <si>
    <t xml:space="preserve">Maqsad 2 daraja past (kengaygan)</t>
  </si>
  <si>
    <t xml:space="preserve">Oyna kengayganda</t>
  </si>
  <si>
    <t xml:space="preserve">Boʻrilar holati</t>
  </si>
  <si>
    <t xml:space="preserve">Jangda oʻladi yoki jarohatlanadi (bo'lim 7 formulasi); oʻljaga aylanmaydi</t>
  </si>
  <si>
    <t xml:space="preserve">Maqsad 2 daraja yuqori (kengaygan)</t>
  </si>
  <si>
    <t xml:space="preserve">Olinmaydigan resurs</t>
  </si>
  <si>
    <t xml:space="preserve">Oy toshi, XP, binolar, qurilish resurslari, boʻrilar (faqat goʻsht olinadi)</t>
  </si>
  <si>
    <t xml:space="preserve">Oyna faqat mos raqib topilmagan oʻyinchi uchun kengayadi — boshqalar uchun ±1 boʻlib qolaveradi.</t>
  </si>
  <si>
    <t xml:space="preserve">Maqsad 3 daraja past (kengaygan)</t>
  </si>
  <si>
    <t xml:space="preserve">Eng chekka holat</t>
  </si>
  <si>
    <t xml:space="preserve">Kengayish qalqonni buzmaydi: 1–6 daraja har qanday bosqichda ham himoyalangan.</t>
  </si>
  <si>
    <t xml:space="preserve">Maqsad 3 daraja yuqori (kengaygan)</t>
  </si>
  <si>
    <t xml:space="preserve">Oyna kengaysa, oʻyinchi buni ekranda koʻradi (masalan «Raqib topilmadi — qidiruv kengaytirildi»).</t>
  </si>
  <si>
    <t xml:space="preserve">Oynadan tashqari daraja</t>
  </si>
  <si>
    <t xml:space="preserve">Hujum tugmasi umuman ochilmaydi</t>
  </si>
  <si>
    <t xml:space="preserve">Toʻliq gʻalaba</t>
  </si>
  <si>
    <t xml:space="preserve">Barcha himoyachilar yengilgan</t>
  </si>
  <si>
    <t xml:space="preserve">Qisman gʻalaba</t>
  </si>
  <si>
    <t xml:space="preserve">Vaqt tugadi, ustunlik bor</t>
  </si>
  <si>
    <t xml:space="preserve">Magʻlubiyat</t>
  </si>
  <si>
    <t xml:space="preserve">Hech narsa olinmaydi</t>
  </si>
  <si>
    <t xml:space="preserve">1-hujum (24 soatda)</t>
  </si>
  <si>
    <t xml:space="preserve">Takror talashga qarshi</t>
  </si>
  <si>
    <t xml:space="preserve">2-hujum</t>
  </si>
  <si>
    <t xml:space="preserve">3-hujum</t>
  </si>
  <si>
    <t xml:space="preserve">Oʻlja = Ombordagi goʻsht × (1 − Himoya%) × Reyd koeffitsienti × gʻalaba × daraja koeff. × takror koeff. × oflayn koeff. (himoyachi 24+ soat oflayn — 0.5), lekin yuk sigʻimidan oshmaydi. 4-hujum juftlik chegarasi bilan taqiqlangan.</t>
  </si>
  <si>
    <t xml:space="preserve">Asosiy qoida: «Oʻlja / kunlik ov» ustuni 50% dan oshmasligi kerak — aks holda oʻyinchilar ov qilishni tashlab, faqat bir-birini talaydi va iqtisod quriydi.</t>
  </si>
  <si>
    <t xml:space="preserve">Yutqazgan tomonga javob imkoni</t>
  </si>
  <si>
    <t xml:space="preserve">Himoya foizi Oziq gʻori darajasidan keladi — demak omborni kuchaytirish ham sigʻim, ham PvP himoyasi uchun foydali.</t>
  </si>
  <si>
    <t xml:space="preserve">Hujum oynasi: oʻyinchi faqat oʻz darajasi, 1 past va 1 yuqori darajaga hujum qila oladi. Boshqa darajalar roʻyxatda umuman koʻrinmaydi.</t>
  </si>
  <si>
    <t xml:space="preserve">1–6 daraja qalqon ostida: 4–6 darajada roʻyxat faqat botlardan iborat. 7-darajali oʻyinchining haqiqiy raqiblari faqat 7 va 8 — boʻsh joylar botlar bilan toʻldiriladi.</t>
  </si>
  <si>
    <t xml:space="preserve">25-daraja uchun ham oyna tor (24–25) — server choʻqqisidagi oʻyinchilar bir-biri bilan qoladi, bu ularni ittifoq va toʻda urushiga itaradi.</t>
  </si>
  <si>
    <t xml:space="preserve">Razvedka — raqib haqida maʼlumot olish</t>
  </si>
  <si>
    <t xml:space="preserve">Oyna hujum bilan bir xil: oʻz darajasi, 1 past va 1 yuqori. Raqibning razvedkasi kuchliroq boʻlsa — hech narsa koʻrinmaydi.</t>
  </si>
  <si>
    <t xml:space="preserve">Razvedkachi soni</t>
  </si>
  <si>
    <t xml:space="preserve">Razvedka kuchi</t>
  </si>
  <si>
    <t xml:space="preserve">−1 daraja kuchi</t>
  </si>
  <si>
    <t xml:space="preserve">Nisbat</t>
  </si>
  <si>
    <t xml:space="preserve">Natija (−1)</t>
  </si>
  <si>
    <t xml:space="preserve">Teng daraja kuchi</t>
  </si>
  <si>
    <t xml:space="preserve">Natija (teng)</t>
  </si>
  <si>
    <t xml:space="preserve">+1 daraja kuchi</t>
  </si>
  <si>
    <t xml:space="preserve">Natija (+1)</t>
  </si>
  <si>
    <t xml:space="preserve">NATIJA BOSQICHLARI — nisbat = oʻz razvedka kuchi ÷ raqib razvedka kuchi</t>
  </si>
  <si>
    <t xml:space="preserve">Natija</t>
  </si>
  <si>
    <t xml:space="preserve">Nima koʻrinadi</t>
  </si>
  <si>
    <t xml:space="preserve">Raqib biladimi?</t>
  </si>
  <si>
    <t xml:space="preserve">≤ 1.00</t>
  </si>
  <si>
    <t xml:space="preserve">❌ Muvaffaqiyatsiz</t>
  </si>
  <si>
    <t xml:space="preserve">Hech narsa. Razvedkachilarning 10% i jarohatlanadi</t>
  </si>
  <si>
    <t xml:space="preserve">Ha — «kimdir sizni kuzatdi» ogohlantirishi keladi</t>
  </si>
  <si>
    <t xml:space="preserve">1.00 – 1.50</t>
  </si>
  <si>
    <t xml:space="preserve">◐ Qisman</t>
  </si>
  <si>
    <t xml:space="preserve">Faqat umumiy toʻda hajmi (masalan «~15 boʻri»)</t>
  </si>
  <si>
    <t xml:space="preserve">Yoʻq</t>
  </si>
  <si>
    <t xml:space="preserve">1.50 – 2.50</t>
  </si>
  <si>
    <t xml:space="preserve">✔ Toʻliq</t>
  </si>
  <si>
    <t xml:space="preserve">Rollar boʻyicha askar soni + taxminiy oʻlja (±20%)</t>
  </si>
  <si>
    <t xml:space="preserve">&gt; 2.50</t>
  </si>
  <si>
    <t xml:space="preserve">★ Aniq</t>
  </si>
  <si>
    <t xml:space="preserve">Aniq raqamlar, Oziq gʻori darajasi, himoya %, qalqon holati</t>
  </si>
  <si>
    <t xml:space="preserve">QOIDALAR</t>
  </si>
  <si>
    <t xml:space="preserve">Razvedkachilar soni × tier koeffitsienti × (1 + alfa bonusi × daraja)</t>
  </si>
  <si>
    <t xml:space="preserve">Hujum bilan bir xil: −1, teng, +1 daraja. 1–6 daraja qalqon ostida</t>
  </si>
  <si>
    <t xml:space="preserve">10 daqiqa — spam razvedkaning oldini oladi</t>
  </si>
  <si>
    <t xml:space="preserve">Maʼlumot muddati</t>
  </si>
  <si>
    <t xml:space="preserve">30 daqiqa. Keyin ombor oʻzgargan boʻlishi mumkin — qayta razvedka kerak</t>
  </si>
  <si>
    <t xml:space="preserve">Muvaffaqiyatsizlik narxi</t>
  </si>
  <si>
    <t xml:space="preserve">Razvedkachilarning 10% i jarohatlanadi (Shifo gʻorida davolanadi)</t>
  </si>
  <si>
    <t xml:space="preserve">Himoyachi uchun</t>
  </si>
  <si>
    <t xml:space="preserve">Faqat muvaffaqiyatsiz razvedkani koʻradi — muvaffaqiyatli razvedka jim oʻtadi</t>
  </si>
  <si>
    <t xml:space="preserve">Strategik maʼnosi</t>
  </si>
  <si>
    <t xml:space="preserve">Razvedkachi saqlash = koʻrinmas himoya. Ularni tashlagan oʻyinchi oshkora qoladi</t>
  </si>
  <si>
    <t xml:space="preserve">Jadvaldagi raqamlar tavsiya etilgan taqsimotga (20% razvedkachi) asoslangan — shuning uchun teng darajadagi nisbat 1.00, yaʼni razvedka muvaffaqiyatsiz.</t>
  </si>
  <si>
    <t xml:space="preserve">Bu ataylab shunday: teng raqibni koʻrish uchun oʻyinchi razvedkachilar sonini tavsiyadan oshirishi kerak — bu esa hujumchilar sonini kamaytiradi. Asosiy tanlov shu.</t>
  </si>
  <si>
    <t xml:space="preserve">Nisbat 0.95–1.05 oraligʻida natija tasodifiy: 50% muvaffaqiyatsiz, 50% qisman (oʻyinda; jadval aniq chegarani koʻrsatadi).</t>
  </si>
  <si>
    <t xml:space="preserve">Lager va oazis — indan tashqarida resurs yigʻish</t>
  </si>
  <si>
    <t xml:space="preserve">Maqsad: resursni xavfsiz indan xavfli xaritaga koʻchirish. Tez yigʻasiz, lekin himoyasiz qolasiz.</t>
  </si>
  <si>
    <t xml:space="preserve">Lagerga yuborish (maks)</t>
  </si>
  <si>
    <t xml:space="preserve">Ovchi tier</t>
  </si>
  <si>
    <t xml:space="preserve">Soatlik yigʻim</t>
  </si>
  <si>
    <t xml:space="preserve">8 soatlik jami</t>
  </si>
  <si>
    <t xml:space="preserve">Ustaxona kunlik</t>
  </si>
  <si>
    <t xml:space="preserve">Lager ulushi (60% tavan)</t>
  </si>
  <si>
    <t xml:space="preserve">Inda qolgan himoyachi</t>
  </si>
  <si>
    <t xml:space="preserve">Risk holati</t>
  </si>
  <si>
    <t xml:space="preserve">🏕 LAGER QOIDALARI</t>
  </si>
  <si>
    <t xml:space="preserve">🌴 OAZIS TURLARI — serverda cheklangan sonda</t>
  </si>
  <si>
    <t xml:space="preserve">Oazis</t>
  </si>
  <si>
    <t xml:space="preserve">Bonusi</t>
  </si>
  <si>
    <t xml:space="preserve">Serverda soni</t>
  </si>
  <si>
    <t xml:space="preserve">Egallash talabi</t>
  </si>
  <si>
    <t xml:space="preserve">Yuborish</t>
  </si>
  <si>
    <t xml:space="preserve">💧 Suv oazisi</t>
  </si>
  <si>
    <t xml:space="preserve">Suv ishlab chiqarish +12%</t>
  </si>
  <si>
    <t xml:space="preserve">6+ daraja, 3 hujumchi</t>
  </si>
  <si>
    <t xml:space="preserve">Muddat</t>
  </si>
  <si>
    <t xml:space="preserve">🌿 Oʻt oazisi</t>
  </si>
  <si>
    <t xml:space="preserve">Davolash tezligi +20%</t>
  </si>
  <si>
    <t xml:space="preserve">8+ daraja, 5 hujumchi</t>
  </si>
  <si>
    <t xml:space="preserve">Lager 0% himoyalangan — hujum boʻlsa yigʻilgan resurs toʻliq ketadi</t>
  </si>
  <si>
    <t xml:space="preserve">🪨 Tosh konи</t>
  </si>
  <si>
    <t xml:space="preserve">Tosh yigʻish +15%</t>
  </si>
  <si>
    <t xml:space="preserve">12+ daraja, 8 hujumchi</t>
  </si>
  <si>
    <t xml:space="preserve">Hujum oynasi</t>
  </si>
  <si>
    <t xml:space="preserve">PvP bilan bir xil: −1, teng, +1 daraja</t>
  </si>
  <si>
    <t xml:space="preserve">🦴 Suyak dalasi</t>
  </si>
  <si>
    <t xml:space="preserve">Suyak yigʻish +15%</t>
  </si>
  <si>
    <t xml:space="preserve">16+ daraja, toʻda urushi</t>
  </si>
  <si>
    <t xml:space="preserve">Razvedka</t>
  </si>
  <si>
    <t xml:space="preserve">Lagerni razvedka qilish oson (ochiq joy) — nisbat 0.8 dan yetarli</t>
  </si>
  <si>
    <t xml:space="preserve">🌕 Oy mehrobi</t>
  </si>
  <si>
    <t xml:space="preserve">Oy nuri ishlab chiqarishi +40% (ehtiyojning 72% → 100%)</t>
  </si>
  <si>
    <t xml:space="preserve">20+ daraja, butun toʻda</t>
  </si>
  <si>
    <t xml:space="preserve">Erta qaytarish</t>
  </si>
  <si>
    <t xml:space="preserve">Istalgan vaqtda chaqirish mumkin; yigʻilgani saqlanadi, qaytish 30 daqiqa</t>
  </si>
  <si>
    <t xml:space="preserve">Strategik maʼno</t>
  </si>
  <si>
    <t xml:space="preserve">Tez resurs uchun in himoyasini vaqtincha qurbon qilasiz</t>
  </si>
  <si>
    <t xml:space="preserve">🌴 OAZIS QOIDALARI</t>
  </si>
  <si>
    <t xml:space="preserve">Lager ulushi = MIN(60%, 8 soatlik lager yigʻimi ÷ Ustaxona kunlik ishlab chiqarishi). Xom ulush faqat qoʻshin hajmi bilan oʻsadi (25-darajada 997%), shuning uchun 60% tavan qoʻyilgan — u 11-darajadan ishga tushadi.</t>
  </si>
  <si>
    <t xml:space="preserve">Egalik</t>
  </si>
  <si>
    <t xml:space="preserve">Oazis toʻdaga tegishli, bitta oʻyinchiga emas — bonus barcha aʼzolarga tarqaladi</t>
  </si>
  <si>
    <t xml:space="preserve">Ushlab turish</t>
  </si>
  <si>
    <t xml:space="preserve">Egallangandan keyin 24 soat hujum qilib boʻlmaydi (spam almashinuvning oldini oladi)</t>
  </si>
  <si>
    <t xml:space="preserve">Tortib olish</t>
  </si>
  <si>
    <t xml:space="preserve">Faqat jang bilan. Egasining himoyachilari oazisda turadi</t>
  </si>
  <si>
    <t xml:space="preserve">Cheklov</t>
  </si>
  <si>
    <t xml:space="preserve">Bir toʻda eng koʻpi 3 ta oazis ushlay oladi — monopoliya boʻlmasligi uchun</t>
  </si>
  <si>
    <t xml:space="preserve">Yoʻqotish</t>
  </si>
  <si>
    <t xml:space="preserve">Oazis qoʻldan ketsa bonus darhol toʻxtaydi, yigʻilgan resurs qoladi</t>
  </si>
  <si>
    <t xml:space="preserve">Maqsadi</t>
  </si>
  <si>
    <t xml:space="preserve">PvP sababi oʻlja emas, NUQTA boʻlsin — bu uzoq muddatli raqobat yaratadi</t>
  </si>
  <si>
    <t xml:space="preserve">Oʻyinchi profili — qaysi rolda, qaysi tierda nechta boʻri</t>
  </si>
  <si>
    <t xml:space="preserve">Koʻk katakka (B5) oʻyinchi darajasini yozing — butun profil qayta hisoblanadi.</t>
  </si>
  <si>
    <t xml:space="preserve">Oʻyinchi darajasi</t>
  </si>
  <si>
    <t xml:space="preserve">Toʻda hajmi (jami boʻri)</t>
  </si>
  <si>
    <t xml:space="preserve">Maksimal tier</t>
  </si>
  <si>
    <t xml:space="preserve">Rol slotlari</t>
  </si>
  <si>
    <t xml:space="preserve">BOʻRILAR SONI — rol × tier</t>
  </si>
  <si>
    <t xml:space="preserve">Jami</t>
  </si>
  <si>
    <t xml:space="preserve">Bitta boʻri CP</t>
  </si>
  <si>
    <t xml:space="preserve">1 — Yosh</t>
  </si>
  <si>
    <t xml:space="preserve">2 — Tajribali</t>
  </si>
  <si>
    <t xml:space="preserve">3 — Urushchi</t>
  </si>
  <si>
    <t xml:space="preserve">4 — Veteran</t>
  </si>
  <si>
    <t xml:space="preserve">5 — Elita</t>
  </si>
  <si>
    <t xml:space="preserve">6 — Afsonaviy</t>
  </si>
  <si>
    <t xml:space="preserve">JAMI</t>
  </si>
  <si>
    <t xml:space="preserve">JANGOVAR QUVVAT — rol × tier</t>
  </si>
  <si>
    <t xml:space="preserve">Jami CP</t>
  </si>
  <si>
    <t xml:space="preserve">JAMI CP</t>
  </si>
  <si>
    <t xml:space="preserve">BINO SIGʻIMI VA MASHQ VAQTI</t>
  </si>
  <si>
    <t xml:space="preserve">Bino darajasi</t>
  </si>
  <si>
    <t xml:space="preserve">Askar soni</t>
  </si>
  <si>
    <t xml:space="preserve">Toʻlganlik</t>
  </si>
  <si>
    <t xml:space="preserve">Vaqt koeffitsienti</t>
  </si>
  <si>
    <t xml:space="preserve">MASHQ VAQTI (daqiqa, bitta askar) — bino jazosi, qoʻshin toʻlganligi, mashq tezligi va In bonusi qoʻllangan</t>
  </si>
  <si>
    <t xml:space="preserve">Mashq vaqti = tier vaqti × MIN(5, bino jazosi × toʻlganlik koeff.) ÷ (bino mashq tezligi × In bonusi). Bino jazosi = MAX(1, (askar ÷ bino sigʻimi)^2); toʻlganlik — qoʻshin sigʻimiga nisbatan.</t>
  </si>
  <si>
    <t xml:space="preserve">Yaʼni binoni koʻtarmasdan koʻp askar yigʻsangiz, har bir yangi askar tobora sekinroq tayyorlanadi — bu «faqat son» strategiyasini toʻxtatadi.</t>
  </si>
  <si>
    <t xml:space="preserve">Bino sigʻimi = 6 × 1.20^(bino darajasi − 1). 25-darajali binoda 477 askar sigʻadi.</t>
  </si>
  <si>
    <t xml:space="preserve">«Bino darajasi» ustuni koʻk — uni pasaytirib, binoni kuchaytirmaslik qanchalik qimmatga tushishini koʻrishingiz mumkin.</t>
  </si>
  <si>
    <t xml:space="preserve">Taqsimot qoidasi: tier k dagi boʻrilar soni = rol slotlari × (T − k + 1) ÷ (T × (T+1) ÷ 2), bu yerda T — maksimal tier.</t>
  </si>
  <si>
    <t xml:space="preserve">Yaʼni piramida: pastki tierda koʻp, yuqorida kam. T=6 boʻlsa ulushlar 29% · 24% · 19% · 14% · 10% · 5%.</t>
  </si>
  <si>
    <t xml:space="preserve">1-tier qoldiqni oladi — shuning uchun jami har doim toʻda hajmiga aniq teng boʻladi.</t>
  </si>
  <si>
    <t xml:space="preserve">Oʻyinda bu ekran shunday koʻrinadi: har rol kartasi ichida 6 qator — «Veteran ×3, Urushchi ×4, Tajribali ×5…».</t>
  </si>
  <si>
    <t xml:space="preserve">Almashtirish: 1.6 ta past tier askar → 1 ta yuqori tier (Askar iqtisodi varagʻi). Shuning uchun piramidani oʻyinchi asta-sekin yuqoriga suradi.</t>
  </si>
  <si>
    <t xml:space="preserve">Vaqt va narx — har bino va har tier uchun jamlangan jadval</t>
  </si>
  <si>
    <t xml:space="preserve">Resurs ustunlari shu darajaga koʻtarilish uchun kerak boʻlgan JAMI birlikni koʻrsatadi (barcha resurs turlari qoʻshilgan).</t>
  </si>
  <si>
    <t xml:space="preserve">🥩 Oziq gʻori — resurs</t>
  </si>
  <si>
    <t xml:space="preserve">🥩 Oziq gʻori — soat</t>
  </si>
  <si>
    <t xml:space="preserve">🪨 Ustaxona qoyasi — resurs</t>
  </si>
  <si>
    <t xml:space="preserve">🪨 Ustaxona qoyasi — soat</t>
  </si>
  <si>
    <t xml:space="preserve">🔍 Razvedka qoyasi — resurs</t>
  </si>
  <si>
    <t xml:space="preserve">🔍 Razvedka qoyasi — soat</t>
  </si>
  <si>
    <t xml:space="preserve">⚔️ Jang maydoni — resurs</t>
  </si>
  <si>
    <t xml:space="preserve">⚔️ Jang maydoni — soat</t>
  </si>
  <si>
    <t xml:space="preserve">🛡 Himoya devori — resurs</t>
  </si>
  <si>
    <t xml:space="preserve">🛡 Himoya devori — soat</t>
  </si>
  <si>
    <t xml:space="preserve">🥩 Ov soʻqmogʻi — resurs</t>
  </si>
  <si>
    <t xml:space="preserve">🥩 Ov soʻqmogʻi — soat</t>
  </si>
  <si>
    <t xml:space="preserve">🏥 Shifo gʻori — resurs</t>
  </si>
  <si>
    <t xml:space="preserve">🏥 Shifo gʻori — soat</t>
  </si>
  <si>
    <t xml:space="preserve">🛒 Bozor — resurs</t>
  </si>
  <si>
    <t xml:space="preserve">🛒 Bozor — soat</t>
  </si>
  <si>
    <t xml:space="preserve">JAMI (1→25)</t>
  </si>
  <si>
    <t xml:space="preserve">ASKAR TIERLARI — bitta askarni keyingi tierga almashtirish (Askar iqtisodi varagʻi bilan bir xil)</t>
  </si>
  <si>
    <t xml:space="preserve">Goʻsht (1 ta uchun)</t>
  </si>
  <si>
    <t xml:space="preserve">Suyak (1 ta uchun)</t>
  </si>
  <si>
    <t xml:space="preserve">Vaqt (daq)</t>
  </si>
  <si>
    <t xml:space="preserve">Qoʻshin toʻla (2.51×)</t>
  </si>
  <si>
    <t xml:space="preserve">Eng yomon holat (5×)</t>
  </si>
  <si>
    <t xml:space="preserve">QURILISH VAQTI KOEFFITSIYENTLARI</t>
  </si>
  <si>
    <t xml:space="preserve">🥩 Oziq gʻori</t>
  </si>
  <si>
    <t xml:space="preserve">Standart</t>
  </si>
  <si>
    <t xml:space="preserve">🪨 Ustaxona qoyasi</t>
  </si>
  <si>
    <t xml:space="preserve">Asosiy iqtisod — sekinroq</t>
  </si>
  <si>
    <t xml:space="preserve">🔍 Razvedka qoyasi</t>
  </si>
  <si>
    <t xml:space="preserve">Yengil qurilish</t>
  </si>
  <si>
    <t xml:space="preserve">⚔️ Jang maydoni</t>
  </si>
  <si>
    <t xml:space="preserve">Eng sekin — asosiy PvP binosi</t>
  </si>
  <si>
    <t xml:space="preserve">🛡 Himoya devori</t>
  </si>
  <si>
    <t xml:space="preserve">Ogʻir qurilish</t>
  </si>
  <si>
    <t xml:space="preserve">🥩 Ov soʻqmogʻi</t>
  </si>
  <si>
    <t xml:space="preserve">Eng tez — boshidan kerak</t>
  </si>
  <si>
    <t xml:space="preserve">🏥 Shifo gʻori</t>
  </si>
  <si>
    <t xml:space="preserve">PvP dan keyin darhol kerak</t>
  </si>
  <si>
    <t xml:space="preserve">🛒 Bozor</t>
  </si>
  <si>
    <t xml:space="preserve">Qurilish vaqti = 10 daqiqa × bino koeffitsienti × 1.25^(daraja−2). Mashq vaqti esa tier jadvalidan keladi va bino «mashq tezligi» bilan qisqaradi.</t>
  </si>
  <si>
    <t xml:space="preserve">«Qoʻshin toʻla» va «Eng yomon holat» ustunlari — qoʻshin toʻlganida va bino sigʻimi oshib ketganda almashtirish vaqti qanchaga choʻzilishini koʻrsatadi.</t>
  </si>
  <si>
    <t xml:space="preserve">Resurs ustuni turli resurslarni qoʻshib koʻrsatadi — aniq taqsimotni Binolar varagʻidan koʻring.</t>
  </si>
  <si>
    <t xml:space="preserve">Mukofot va mavsum — haftalik sovrin fondi va uning taqsimoti</t>
  </si>
  <si>
    <t xml:space="preserve">Fond daromadga bogʻlangan foiz — hech qachon qatʼiy summa emas. Oʻyinchi koʻpaysa fond oʻsadi, kamaysa kichrayadi.</t>
  </si>
  <si>
    <t xml:space="preserve">FOND KALKULYATORI</t>
  </si>
  <si>
    <t xml:space="preserve">Kunlik faol oʻyinchi (DAU)</t>
  </si>
  <si>
    <t xml:space="preserve">Kunlik ARPU ($)</t>
  </si>
  <si>
    <t xml:space="preserve">Kunlik daromad ($)</t>
  </si>
  <si>
    <t xml:space="preserve">Jamgʻarma ulushi</t>
  </si>
  <si>
    <t xml:space="preserve">Kunlik fond ($)</t>
  </si>
  <si>
    <t xml:space="preserve">Mavsum davomiyligi (kun)</t>
  </si>
  <si>
    <t xml:space="preserve">Mavsum fondi ($)</t>
  </si>
  <si>
    <t xml:space="preserve">Mavsum fondi (tanga)</t>
  </si>
  <si>
    <t xml:space="preserve">Bitta oʻyinchi maksimumi (tanga)</t>
  </si>
  <si>
    <t xml:space="preserve">DARAJA BOʻYICHA TAXMINIY HAFTALIK MUKOFOT</t>
  </si>
  <si>
    <t xml:space="preserve">Faraz: har darajada bittadan oʻyinchi, hammasi bir xil sonda jang qiladi. Haqiqiy taqsimot oʻyinchi sonidan kelib chiqadi.</t>
  </si>
  <si>
    <t xml:space="preserve">Toʻda CP</t>
  </si>
  <si>
    <t xml:space="preserve">Haftalik janglar</t>
  </si>
  <si>
    <t xml:space="preserve">Natija koeff.</t>
  </si>
  <si>
    <t xml:space="preserve">Haftalik hissa</t>
  </si>
  <si>
    <t xml:space="preserve">Ulush</t>
  </si>
  <si>
    <t xml:space="preserve">Mukofot (tanga)</t>
  </si>
  <si>
    <t xml:space="preserve">Mukofot ($)</t>
  </si>
  <si>
    <t xml:space="preserve">HISSA KOEFFITSIYENTLARI</t>
  </si>
  <si>
    <t xml:space="preserve">SUIISTEʼMOLGA QARSHI</t>
  </si>
  <si>
    <t xml:space="preserve">Koeff.</t>
  </si>
  <si>
    <t xml:space="preserve">Minimal faollik</t>
  </si>
  <si>
    <t xml:space="preserve">Haftada kamida 5 ta haqiqiy jang</t>
  </si>
  <si>
    <t xml:space="preserve">Gʻalaba</t>
  </si>
  <si>
    <t xml:space="preserve">Bir toʻda ichida jang</t>
  </si>
  <si>
    <t xml:space="preserve">Mukofot 0 — reyting ham oʻzgarmaydi</t>
  </si>
  <si>
    <t xml:space="preserve">Magʻlubiyat (lekin jang qilgan)</t>
  </si>
  <si>
    <t xml:space="preserve">Ishtirok ham qadrlanadi</t>
  </si>
  <si>
    <t xml:space="preserve">Bir qurilma / IP</t>
  </si>
  <si>
    <t xml:space="preserve">Ikkala akkaunt ham fonddan chiqariladi</t>
  </si>
  <si>
    <t xml:space="preserve">Raqib CP si 30%+ past</t>
  </si>
  <si>
    <t xml:space="preserve">Zaifni urish foyda bermaydi</t>
  </si>
  <si>
    <t xml:space="preserve">Shaxsiy shift</t>
  </si>
  <si>
    <t xml:space="preserve">Bitta oʻyinchi fondning 5% idan koʻp ololmaydi</t>
  </si>
  <si>
    <t xml:space="preserve">Raqib CP si yuqori</t>
  </si>
  <si>
    <t xml:space="preserve">Tavakkal ragʻbatlantiriladi</t>
  </si>
  <si>
    <t xml:space="preserve">Yangi akkaunt</t>
  </si>
  <si>
    <t xml:space="preserve">14 kundan keyin mukofotga kira oladi</t>
  </si>
  <si>
    <t xml:space="preserve">Askar yoʻqotmasdan gʻalaba</t>
  </si>
  <si>
    <t xml:space="preserve">Xavfsiz jang mukofot bermaydi</t>
  </si>
  <si>
    <t xml:space="preserve">Qasddan yutqazish</t>
  </si>
  <si>
    <t xml:space="preserve">Askar yoʻqotmasdan magʻlubiyat — koeff. 0</t>
  </si>
  <si>
    <t xml:space="preserve">Mavsumning oxirgi 3 kuni</t>
  </si>
  <si>
    <t xml:space="preserve">Yakuniy faollik portlashi</t>
  </si>
  <si>
    <t xml:space="preserve">Fond cheklovi</t>
  </si>
  <si>
    <t xml:space="preserve">Fond qatʼiy foiz — janglar koʻpaysa ham summa oshmaydi</t>
  </si>
  <si>
    <t xml:space="preserve">Bir toʻda ichidagi jang</t>
  </si>
  <si>
    <t xml:space="preserve">Oʻzini-oʻzi urishga qarshi</t>
  </si>
  <si>
    <t xml:space="preserve">MAVSUM TUZILMASI VA BOSQICHMA-BOSQICH YOʻL</t>
  </si>
  <si>
    <t xml:space="preserve">Mukofot turi</t>
  </si>
  <si>
    <t xml:space="preserve">Xavf darajasi</t>
  </si>
  <si>
    <t xml:space="preserve">0–3 oy</t>
  </si>
  <si>
    <t xml:space="preserve">Prestij, unvon, skin, mavsum reytingi</t>
  </si>
  <si>
    <t xml:space="preserve">3–6 oy</t>
  </si>
  <si>
    <t xml:space="preserve">Telegram Stars — top-100 ga haftalik sovrin</t>
  </si>
  <si>
    <t xml:space="preserve">Past</t>
  </si>
  <si>
    <t xml:space="preserve">6+ oy</t>
  </si>
  <si>
    <t xml:space="preserve">Tanga → pul konversiyasi (yurist maslahatidan keyin)</t>
  </si>
  <si>
    <t xml:space="preserve">Yuqori</t>
  </si>
  <si>
    <t xml:space="preserve">Mavsum: 7 kun. Har dushanba reyting nolga tushadi. Divizionlar: bronza → kumush → oltin → afsona.</t>
  </si>
  <si>
    <t xml:space="preserve">Hissa = yetkazilgan zarar (CP) × natija koeffitsienti × raqib kuchi koeffitsienti. Yuborilgan askar soni EMAS — aks holda ataylab yutqazish foydali boʻlib qoladi.</t>
  </si>
  <si>
    <t xml:space="preserve">Mukofot = (shaxsiy hissa ÷ barcha hissalar) × mavsum fondi, shaxsiy shift bilan cheklangan.</t>
  </si>
  <si>
    <t xml:space="preserve">Pulga aylantirish huquqiy masala: soliq, KYC va Telegram qoidalarini bosqich 3 dan oldin mahalliy yurist bilan tekshiring. Bu jadval huquqiy maslahat emas.</t>
  </si>
  <si>
    <t xml:space="preserve">Adolat nazorati — kelishib yutqazishga qarshi tizim</t>
  </si>
  <si>
    <t xml:space="preserve">Asosiy tamoyil: mavsum janglarida raqibni oʻyinchi emas, server tanlaydi. Qolgan qoidalar — ehtiyot chorasi.</t>
  </si>
  <si>
    <t xml:space="preserve">1. JANG TURLARI</t>
  </si>
  <si>
    <t xml:space="preserve">Jang turi</t>
  </si>
  <si>
    <t xml:space="preserve">Raqibni kim tanlaydi</t>
  </si>
  <si>
    <t xml:space="preserve">Oʻlja</t>
  </si>
  <si>
    <t xml:space="preserve">Mavsum hissasi</t>
  </si>
  <si>
    <t xml:space="preserve">Izoh</t>
  </si>
  <si>
    <t xml:space="preserve">Mavsum jangi</t>
  </si>
  <si>
    <t xml:space="preserve">Server tayinlaydi</t>
  </si>
  <si>
    <t xml:space="preserve">Ha</t>
  </si>
  <si>
    <t xml:space="preserve">✅ Hisoblanadi</t>
  </si>
  <si>
    <t xml:space="preserve">Reyting va mukofot faqat shundan</t>
  </si>
  <si>
    <t xml:space="preserve">Erkin reyd</t>
  </si>
  <si>
    <t xml:space="preserve">Oʻyinchi tanlaydi</t>
  </si>
  <si>
    <t xml:space="preserve">❌ Hisoblanmaydi</t>
  </si>
  <si>
    <t xml:space="preserve">Resurs uchun, reyting uchun emas</t>
  </si>
  <si>
    <t xml:space="preserve">Qasos hujumi</t>
  </si>
  <si>
    <t xml:space="preserve">Oʻyinchi (24 soat ichida)</t>
  </si>
  <si>
    <t xml:space="preserve">◐ 50%</t>
  </si>
  <si>
    <t xml:space="preserve">Javob berish huquqi saqlanadi</t>
  </si>
  <si>
    <t xml:space="preserve">Toʻda urushi</t>
  </si>
  <si>
    <t xml:space="preserve">Toʻda rahbari kelishadi</t>
  </si>
  <si>
    <t xml:space="preserve">Ikkala toʻda roziligi kerak</t>
  </si>
  <si>
    <t xml:space="preserve">2. QOIDALAR VA PARAMETRLAR</t>
  </si>
  <si>
    <t xml:space="preserve">Qoida</t>
  </si>
  <si>
    <t xml:space="preserve">Parametr</t>
  </si>
  <si>
    <t xml:space="preserve">Aniqlash formulasi</t>
  </si>
  <si>
    <t xml:space="preserve">Juftlik hissa chegarasi</t>
  </si>
  <si>
    <t xml:space="preserve">Bir raqib bilan janglar soni &gt; chegara</t>
  </si>
  <si>
    <t xml:space="preserve">4-jangdan hissa 0</t>
  </si>
  <si>
    <t xml:space="preserve">Yopiq guruh</t>
  </si>
  <si>
    <t xml:space="preserve">Janglarning ulushi bir guruh ichida &gt; chegara</t>
  </si>
  <si>
    <t xml:space="preserve">Guruh bayroqlanadi</t>
  </si>
  <si>
    <t xml:space="preserve">Guruh hajmi</t>
  </si>
  <si>
    <t xml:space="preserve">Shuncha kishilik yopiq halqa qidiriladi</t>
  </si>
  <si>
    <t xml:space="preserve">Graf tahlili</t>
  </si>
  <si>
    <t xml:space="preserve">Minimal himoya CP</t>
  </si>
  <si>
    <t xml:space="preserve">Inda qolgan himoya CP ÷ maksimal himoya CP</t>
  </si>
  <si>
    <t xml:space="preserve">Past boʻlsa hissa 0</t>
  </si>
  <si>
    <t xml:space="preserve">Minimal raund</t>
  </si>
  <si>
    <t xml:space="preserve">Jang raundlari soni</t>
  </si>
  <si>
    <t xml:space="preserve">Kam boʻlsa hissa 0</t>
  </si>
  <si>
    <t xml:space="preserve">Hujumchi yoʻqotishi</t>
  </si>
  <si>
    <t xml:space="preserve">Yoʻqotilgan askar ÷ yuborilgan askar</t>
  </si>
  <si>
    <t xml:space="preserve">Bir tomonlama jang</t>
  </si>
  <si>
    <t xml:space="preserve">Yetkazilgan zarar ÷ olingan zarar</t>
  </si>
  <si>
    <t xml:space="preserve">Yuqori boʻlsa koeff. 0.2</t>
  </si>
  <si>
    <t xml:space="preserve">Toʻda almashtirish</t>
  </si>
  <si>
    <t xml:space="preserve">Toʻdaga kirgandan beri oʻtgan kunlar</t>
  </si>
  <si>
    <t xml:space="preserve">Kam boʻlsa mukofotsiz</t>
  </si>
  <si>
    <t xml:space="preserve">Akkaunt yoshi (kun)</t>
  </si>
  <si>
    <t xml:space="preserve">Toʻlov kutishi</t>
  </si>
  <si>
    <t xml:space="preserve">Mavsum tugagandan keyingi soatlar</t>
  </si>
  <si>
    <t xml:space="preserve">Shundan keyin toʻlov</t>
  </si>
  <si>
    <t xml:space="preserve">Qoʻlda tekshiruv</t>
  </si>
  <si>
    <t xml:space="preserve">Reytingdagi top profillar</t>
  </si>
  <si>
    <t xml:space="preserve">Har mavsum koʻrib chiqiladi</t>
  </si>
  <si>
    <t xml:space="preserve">3. JANG TEKSHIRUVCHISI — hissa hisoblanadimi?</t>
  </si>
  <si>
    <t xml:space="preserve">4. JAZO BOSQICHLARI</t>
  </si>
  <si>
    <t xml:space="preserve">Marta</t>
  </si>
  <si>
    <t xml:space="preserve">Jazo</t>
  </si>
  <si>
    <t xml:space="preserve">Jang turi mavsum jangimi? (1/0)</t>
  </si>
  <si>
    <t xml:space="preserve">1-marta</t>
  </si>
  <si>
    <t xml:space="preserve">Ogohlantirish + mavsum hissasi 50%</t>
  </si>
  <si>
    <t xml:space="preserve">Shu mavsum</t>
  </si>
  <si>
    <t xml:space="preserve">Raund soni</t>
  </si>
  <si>
    <t xml:space="preserve">2-marta</t>
  </si>
  <si>
    <t xml:space="preserve">Mavsumdan chiqarish, mukofot 0</t>
  </si>
  <si>
    <t xml:space="preserve">Yuborilgan askar</t>
  </si>
  <si>
    <t xml:space="preserve">3-marta</t>
  </si>
  <si>
    <t xml:space="preserve">Reytingga kirish bloki</t>
  </si>
  <si>
    <t xml:space="preserve">3 mavsum</t>
  </si>
  <si>
    <t xml:space="preserve">Yoʻqotilgan askar</t>
  </si>
  <si>
    <t xml:space="preserve">Ogʻir holat</t>
  </si>
  <si>
    <t xml:space="preserve">Akkaunt bloki</t>
  </si>
  <si>
    <t xml:space="preserve">Doimiy</t>
  </si>
  <si>
    <t xml:space="preserve">Yetkazilgan zarar (CP)</t>
  </si>
  <si>
    <t xml:space="preserve">Olingan zarar (CP)</t>
  </si>
  <si>
    <t xml:space="preserve">5. TEKSHIRUV TARTIBI</t>
  </si>
  <si>
    <t xml:space="preserve">Qachon</t>
  </si>
  <si>
    <t xml:space="preserve">Nima tekshiriladi</t>
  </si>
  <si>
    <t xml:space="preserve">Shu raqib bilan nechanchi jang</t>
  </si>
  <si>
    <t xml:space="preserve">Real vaqtda</t>
  </si>
  <si>
    <t xml:space="preserve">Juftlik chegarasi, toʻda tekshiruvi, qurilma/IP, minimal raund va yoʻqotish</t>
  </si>
  <si>
    <t xml:space="preserve">Bir toʻdadanmi? (1/0)</t>
  </si>
  <si>
    <t xml:space="preserve">Jang tugagach</t>
  </si>
  <si>
    <t xml:space="preserve">Himoya CP ulushi, zarar nisbati, hissa koeffitsienti</t>
  </si>
  <si>
    <t xml:space="preserve">Mavsum oxirida</t>
  </si>
  <si>
    <t xml:space="preserve">Graf tahlili — yopiq guruhlar, takrorlanuvchi jang vaqtlari</t>
  </si>
  <si>
    <t xml:space="preserve">Toʻlovdan oldin</t>
  </si>
  <si>
    <t xml:space="preserve">48 soat kutish + top-100 profil qoʻlda koʻriladi</t>
  </si>
  <si>
    <t xml:space="preserve">NATIJA</t>
  </si>
  <si>
    <t xml:space="preserve">Eng kuchli chora — raqibni server tanlashi. Qolgan 10 qoida faqat qolgan teshiklarni yopadi.</t>
  </si>
  <si>
    <t xml:space="preserve">Fond qatʼiy foiz boʻlgani uchun kelishuvchilar boshqa oʻyinchilardan oʻgʻirlaydi — shuning uchun jamoa shikoyat qilishga manfaatdor, bu bepul nazorat beradi.</t>
  </si>
  <si>
    <t xml:space="preserve">Bekor qilingan mukofot keyingi mavsum fondiga qoʻshiladi — halol oʻyinchilarga qaytadi.</t>
  </si>
  <si>
    <t xml:space="preserve">48 soatlik kutish eng arzon chora: mukofot mavsum tugagach darhol emas, tekshiruvdan keyin beriladi.</t>
  </si>
  <si>
    <t xml:space="preserve">Tanishtiruv — 1-darajadan 5-darajagacha boshqariladigan qoʻllanma</t>
  </si>
  <si>
    <t xml:space="preserve">Maqsad: 15 daqiqada oʻyinchi toʻda, klan va PvP ni koʻrib ulgursin va «men bu oʻyinni tushundim» hissi bilan chiqsin.</t>
  </si>
  <si>
    <t xml:space="preserve">Qadam</t>
  </si>
  <si>
    <t xml:space="preserve">Yoʻriqchi matni</t>
  </si>
  <si>
    <t xml:space="preserve">Oʻyinchi harakati</t>
  </si>
  <si>
    <t xml:space="preserve">Mukofot</t>
  </si>
  <si>
    <t xml:space="preserve">Turi</t>
  </si>
  <si>
    <t xml:space="preserve">XP</t>
  </si>
  <si>
    <t xml:space="preserve">Sen toʻdangni yoʻqotgan yolgʻiz boʻrisan. Omon qolish kerak.</t>
  </si>
  <si>
    <t xml:space="preserve">Ekranga bosish</t>
  </si>
  <si>
    <t xml:space="preserve">—</t>
  </si>
  <si>
    <t xml:space="preserve">Majburiy</t>
  </si>
  <si>
    <t xml:space="preserve">Mana quyon. Ov qilib koʻr.</t>
  </si>
  <si>
    <t xml:space="preserve">Quyonni bosish</t>
  </si>
  <si>
    <t xml:space="preserve">5 kg goʻsht</t>
  </si>
  <si>
    <t xml:space="preserve">Yashash uchun in kerak. Mana bu joy yaxshi.</t>
  </si>
  <si>
    <t xml:space="preserve">Inni qoʻyish</t>
  </si>
  <si>
    <t xml:space="preserve">In 1-daraja</t>
  </si>
  <si>
    <t xml:space="preserve">Goʻsht buziladi. Uni saqlash uchun Oziq gʻori kerak.</t>
  </si>
  <si>
    <t xml:space="preserve">Oziq gʻorini ochish</t>
  </si>
  <si>
    <t xml:space="preserve">Oziq gʻori 1-daraja</t>
  </si>
  <si>
    <t xml:space="preserve">Ovlagan goʻshtingni gʻorga sol. Bu yerda u uzoqroq turadi.</t>
  </si>
  <si>
    <t xml:space="preserve">Goʻshtni saqlash</t>
  </si>
  <si>
    <t xml:space="preserve">20 kg goʻsht</t>
  </si>
  <si>
    <t xml:space="preserve">Qurilish uchun tosh va shox-shabba kerak. Ustaxona qoyasini qur.</t>
  </si>
  <si>
    <t xml:space="preserve">Ustaxonani ochish</t>
  </si>
  <si>
    <t xml:space="preserve">Ustaxona 1-daraja</t>
  </si>
  <si>
    <t xml:space="preserve">Ustaxona resursni oʻzi yigʻadi. Qaysi biri koʻproq kerakligini tanla.</t>
  </si>
  <si>
    <t xml:space="preserve">Taqsimotni sozlash</t>
  </si>
  <si>
    <t xml:space="preserve">100 tosh</t>
  </si>
  <si>
    <t xml:space="preserve">Ov qilish uchun mashq kerak. Ov soʻqmogʻini qur.</t>
  </si>
  <si>
    <t xml:space="preserve">Ov soʻqmogʻini ochish</t>
  </si>
  <si>
    <t xml:space="preserve">Ov soʻqmogʻi 1-daraja</t>
  </si>
  <si>
    <t xml:space="preserve">Birinchi ovchingni tayyorla.</t>
  </si>
  <si>
    <t xml:space="preserve">Ovchi mashq qilish</t>
  </si>
  <si>
    <t xml:space="preserve">1 ovchi</t>
  </si>
  <si>
    <t xml:space="preserve">Binolarni kuchaytirsang, koʻproq sigʻadi. Oziq gʻorini 2-darajaga koʻtar.</t>
  </si>
  <si>
    <t xml:space="preserve">Binoni kuchaytirish</t>
  </si>
  <si>
    <t xml:space="preserve">Boʻri yolgʻiz kuchsiz. Endi toʻdang boʻladi!</t>
  </si>
  <si>
    <t xml:space="preserve">Toʻdani koʻrish</t>
  </si>
  <si>
    <t xml:space="preserve">2 ovchi</t>
  </si>
  <si>
    <t xml:space="preserve">Toʻda bilan kattaroq oʻlja ovlash mumkin. Sugʻurni ovla.</t>
  </si>
  <si>
    <t xml:space="preserve">Ovchilarni ovga yuborish (sugʻur)</t>
  </si>
  <si>
    <t xml:space="preserve">8 kg goʻsht</t>
  </si>
  <si>
    <t xml:space="preserve">Jang qiladigan boʻrilar kerak. Jang maydonini qur.</t>
  </si>
  <si>
    <t xml:space="preserve">Jang maydonini ochish</t>
  </si>
  <si>
    <t xml:space="preserve">Jang maydoni 1-daraja</t>
  </si>
  <si>
    <t xml:space="preserve">Tavsiya</t>
  </si>
  <si>
    <t xml:space="preserve">Birinchi hujumchingni tayyorla.</t>
  </si>
  <si>
    <t xml:space="preserve">Hujumchi mashq qilish</t>
  </si>
  <si>
    <t xml:space="preserve">1 hujumchi</t>
  </si>
  <si>
    <t xml:space="preserve">Yolgʻiz boʻri omon qolmaydi. Ov guruhiga qoʻshil.</t>
  </si>
  <si>
    <t xml:space="preserve">Ov guruhiga qoʻshilish</t>
  </si>
  <si>
    <t xml:space="preserve">Ov +10% (24 soat)</t>
  </si>
  <si>
    <t xml:space="preserve">Endi birinchi jang. Qoʻrqma — bu yovvoyi toʻda.</t>
  </si>
  <si>
    <t xml:space="preserve">Botga hujum (yovvoyi toʻda)</t>
  </si>
  <si>
    <t xml:space="preserve">Gʻalaba + 50 tosh</t>
  </si>
  <si>
    <t xml:space="preserve">Raqibni oldindan koʻrish uchun razvedkachi kerak.</t>
  </si>
  <si>
    <t xml:space="preserve">Razvedka qoyasini ochish</t>
  </si>
  <si>
    <t xml:space="preserve">1 razvedkachi</t>
  </si>
  <si>
    <t xml:space="preserve">Raqibni razvedka qilib koʻr — nechta askari borligini koʻrasan.</t>
  </si>
  <si>
    <t xml:space="preserve">Razvedka yuborish (botga)</t>
  </si>
  <si>
    <t xml:space="preserve">Maʼlumot</t>
  </si>
  <si>
    <t xml:space="preserve">Ustaxona buferi toʻldi — resursni omborga ol.</t>
  </si>
  <si>
    <t xml:space="preserve">Yigʻib olish</t>
  </si>
  <si>
    <t xml:space="preserve">100 shox-shabba</t>
  </si>
  <si>
    <t xml:space="preserve">Endi siz oʻyinga tayyorsiz. Omad, alfa!</t>
  </si>
  <si>
    <t xml:space="preserve">Tanishtiruv yakuni</t>
  </si>
  <si>
    <t xml:space="preserve">Boshlangʻich paket</t>
  </si>
  <si>
    <t xml:space="preserve">JAMI TANISHTIRUV VAQTI (daqiqa)</t>
  </si>
  <si>
    <t xml:space="preserve">TANISHTIRUV QOIDALARI</t>
  </si>
  <si>
    <t xml:space="preserve">Navbatlar darhol</t>
  </si>
  <si>
    <t xml:space="preserve">Tanishtiruv davomida barcha qurilish va mashq navbatlari darhol tugaydi. Yakunda keyin ishlatish uchun 5 ta bepul tezlashtirish (har biri 1 soatgacha) beriladi</t>
  </si>
  <si>
    <t xml:space="preserve">Birinchi PvP bot bilan</t>
  </si>
  <si>
    <t xml:space="preserve">16-qadamdagi jang haqiqiy oʻyinchiga emas, botga qarshi. Birinchi tajriba gʻalaba boʻlishi shart</t>
  </si>
  <si>
    <t xml:space="preserve">Qattiq qulf</t>
  </si>
  <si>
    <t xml:space="preserve">1–12 qadam majburiy: boshqa tugmalar oʻchirilgan, faqat koʻrsatilgan tugma ishlaydi</t>
  </si>
  <si>
    <t xml:space="preserve">Yumshoq maslahat</t>
  </si>
  <si>
    <t xml:space="preserve">13-qadamdan keyin oʻyinchi erkin — koʻrsatma faqat miltillovchi belgi shaklida</t>
  </si>
  <si>
    <t xml:space="preserve">Oʻtkazib yuborish</t>
  </si>
  <si>
    <t xml:space="preserve">12-qadamdan keyin «Oʻtkazib yuborish» tugmasi chiqadi — tajribali oʻyinchini majburlamang</t>
  </si>
  <si>
    <t xml:space="preserve">Qalqon</t>
  </si>
  <si>
    <t xml:space="preserve">Tanishtiruv davomida va 6-darajagacha oʻyinchilar hujum qila olmaydi; 4-darajadan faqat botlarga hujum</t>
  </si>
  <si>
    <t xml:space="preserve">Yakuniy paket</t>
  </si>
  <si>
    <t xml:space="preserve">Oziq gʻorini toʻliq toʻldiradigan goʻsht, 300 tosh, 200 shox-shabba, 100 teri, 100 suyak, 1 ta bepul tier mashqi</t>
  </si>
  <si>
    <t xml:space="preserve">Keyingi maqsad</t>
  </si>
  <si>
    <t xml:space="preserve">Yakunda darhol yangi maqsad koʻrsatiladi: «Shifo gʻorini och — 6-daraja»</t>
  </si>
  <si>
    <t xml:space="preserve">Toʻxtab qolsa</t>
  </si>
  <si>
    <t xml:space="preserve">Oʻyinchi 60 soniya harakatsiz tursa, koʻrsatma qayta miltillaydi</t>
  </si>
  <si>
    <t xml:space="preserve">Oʻlchov</t>
  </si>
  <si>
    <t xml:space="preserve">Har qadamda tark etish foizi yozib borilsin — qayerda tashlab ketishayotgani koʻrinadi</t>
  </si>
  <si>
    <t xml:space="preserve">Rang izohi: koʻk — yolgʻiz bosqich (1–3 daraja) · jigarrang — toʻda ochilishi (4-daraja) · binafsha — yakun (5-daraja).</t>
  </si>
  <si>
    <t xml:space="preserve">Eng muhim qadam — 11-qadam: yolgʻizlikdan toʻdaga oʻtish. Bu yerda musiqa va animatsiya oʻzgarsin, oʻyinchi farqni his qilsin. v2 da: 15-qadam → Klanga qoʻshilish, 19-qadam → Himoya devori.</t>
  </si>
  <si>
    <t xml:space="preserve">Tanishtiruv XP si faqat qadam mukofotidan keladi (H ustuni, jami 330): 3-qadamdan keyin 2-daraja, 7-dan keyin 3-daraja, 10-dan keyin 4-daraja, 16-dan keyin 5-daraja. Oʻtkazib yuborilgan qadam XP si ham beriladi.</t>
  </si>
  <si>
    <t xml:space="preserve">Vazifalar va topshiriqlar — gamifikatsiya</t>
  </si>
  <si>
    <t xml:space="preserve">Asosiy qoida: mukofot VAQT tejaydi, KUCH bermaydi. Hech bir vazifa stat, tier yoki doimiy bonus bermaydi.</t>
  </si>
  <si>
    <t xml:space="preserve">1. MUKOFOT BYUDJETI — daraja boʻyicha</t>
  </si>
  <si>
    <t xml:space="preserve">Kundalik vazifalar jami</t>
  </si>
  <si>
    <t xml:space="preserve">Bitta vazifa</t>
  </si>
  <si>
    <t xml:space="preserve">Haftalik jami</t>
  </si>
  <si>
    <t xml:space="preserve">Bosqichli (bir martalik)</t>
  </si>
  <si>
    <t xml:space="preserve">Kunlik ulush</t>
  </si>
  <si>
    <t xml:space="preserve">2. KUNDALIK VAZIFALAR — har kuni yangilanadi</t>
  </si>
  <si>
    <t xml:space="preserve">4. BOSQICHLI YUTUQLAR — bir martalik</t>
  </si>
  <si>
    <t xml:space="preserve">Yoʻnalish</t>
  </si>
  <si>
    <t xml:space="preserve">Bosqichlar</t>
  </si>
  <si>
    <t xml:space="preserve">Ovchi</t>
  </si>
  <si>
    <t xml:space="preserve">3 marta ov qilish</t>
  </si>
  <si>
    <t xml:space="preserve">Goʻsht — bitta vazifa byudjeti</t>
  </si>
  <si>
    <t xml:space="preserve">Quruvchi</t>
  </si>
  <si>
    <t xml:space="preserve">5 · 15 · 40 · 80 · 150 marta kuchaytirish</t>
  </si>
  <si>
    <t xml:space="preserve">Resurs + tezlashtirish</t>
  </si>
  <si>
    <t xml:space="preserve">1 ta binoni kuchaytirish</t>
  </si>
  <si>
    <t xml:space="preserve">Tosh + shox-shabba</t>
  </si>
  <si>
    <t xml:space="preserve">Toʻda alfasi</t>
  </si>
  <si>
    <t xml:space="preserve">5 · 10 · 15 · 20 · 25 askar</t>
  </si>
  <si>
    <t xml:space="preserve">Resurs paketi</t>
  </si>
  <si>
    <t xml:space="preserve">Murabbiy</t>
  </si>
  <si>
    <t xml:space="preserve">1 ta askarni mashq qilish</t>
  </si>
  <si>
    <t xml:space="preserve">Suyak</t>
  </si>
  <si>
    <t xml:space="preserve">Birinchi 2 · 4 · 6-tier askar</t>
  </si>
  <si>
    <t xml:space="preserve">Bepul mashq (bitta askar)</t>
  </si>
  <si>
    <t xml:space="preserve">Jangchi</t>
  </si>
  <si>
    <t xml:space="preserve">1 ta hujum (botlar ham hisoblanadi)</t>
  </si>
  <si>
    <t xml:space="preserve">10 daqiqalik tezlashtirish</t>
  </si>
  <si>
    <t xml:space="preserve">50 · 200 · 1000 oʻlja</t>
  </si>
  <si>
    <t xml:space="preserve">Goʻsht paketi</t>
  </si>
  <si>
    <t xml:space="preserve">Kirish</t>
  </si>
  <si>
    <t xml:space="preserve">Oʻyinga kirish (avtomatik)</t>
  </si>
  <si>
    <t xml:space="preserve">Kichik goʻsht paketi</t>
  </si>
  <si>
    <t xml:space="preserve">Toʻplovchi</t>
  </si>
  <si>
    <t xml:space="preserve">10k · 100k · 1mln resurs</t>
  </si>
  <si>
    <t xml:space="preserve">Aralash paket</t>
  </si>
  <si>
    <t xml:space="preserve">10 · 50 · 200 PvP jangi</t>
  </si>
  <si>
    <t xml:space="preserve">Tezlashtirish</t>
  </si>
  <si>
    <t xml:space="preserve">3. HAFTALIK VAZIFALAR</t>
  </si>
  <si>
    <t xml:space="preserve">Gʻolib</t>
  </si>
  <si>
    <t xml:space="preserve">5 · 25 · 100 gʻalaba</t>
  </si>
  <si>
    <t xml:space="preserve">Unvon + ramka (kosmetik)</t>
  </si>
  <si>
    <t xml:space="preserve">Vazifa</t>
  </si>
  <si>
    <t xml:space="preserve">Shart</t>
  </si>
  <si>
    <t xml:space="preserve">Razvedkachi</t>
  </si>
  <si>
    <t xml:space="preserve">20 · 100 muvaffaqiyatli razvedka</t>
  </si>
  <si>
    <t xml:space="preserve">Katta ov</t>
  </si>
  <si>
    <t xml:space="preserve">20 marta ov qilish</t>
  </si>
  <si>
    <t xml:space="preserve">Haftalik byudjetning 40% i</t>
  </si>
  <si>
    <t xml:space="preserve">Egallovchi</t>
  </si>
  <si>
    <t xml:space="preserve">Birinchi oazis · 3 oazis</t>
  </si>
  <si>
    <t xml:space="preserve">Unvon + resurs</t>
  </si>
  <si>
    <t xml:space="preserve">Sayohatchi</t>
  </si>
  <si>
    <t xml:space="preserve">3 marta lager yuborish (MVP da: 3 razvedka)</t>
  </si>
  <si>
    <t xml:space="preserve">Aralash resurs paketi</t>
  </si>
  <si>
    <t xml:space="preserve">Sodiq</t>
  </si>
  <si>
    <t xml:space="preserve">7 · 30 · 100 kun ketma-ket kirish</t>
  </si>
  <si>
    <t xml:space="preserve">Kosmetik + resurs</t>
  </si>
  <si>
    <t xml:space="preserve">Tajovuzkor</t>
  </si>
  <si>
    <t xml:space="preserve">10 ta hujum (botlar ham hisoblanadi)</t>
  </si>
  <si>
    <t xml:space="preserve">30 daqiqalik tezlashtirish</t>
  </si>
  <si>
    <t xml:space="preserve">Toʻda aʼzosi</t>
  </si>
  <si>
    <t xml:space="preserve">3 marta guruh ovi yoki toʻda jangi</t>
  </si>
  <si>
    <t xml:space="preserve">Toʻda xazinasiga hissa</t>
  </si>
  <si>
    <t xml:space="preserve">5. MUKOFOT TURLARI</t>
  </si>
  <si>
    <t xml:space="preserve">✅ Ruxsat etiladi</t>
  </si>
  <si>
    <t xml:space="preserve">❌ Hech qachon berilmaydi</t>
  </si>
  <si>
    <t xml:space="preserve">Resurs (byudjet ichida)</t>
  </si>
  <si>
    <t xml:space="preserve">Doimiy stat bonusi (+kuch, +chidam)</t>
  </si>
  <si>
    <t xml:space="preserve">Mukofot byudjeti kunlik ishlab chiqarishga bogʻlangan — shuning uchun 25-darajali oʻyinchi katta, 5-darajali kichik mukofot oladi, lekin nisbat bir xil qoladi.</t>
  </si>
  <si>
    <t xml:space="preserve">Qurilish/mashq tezlashtirishi</t>
  </si>
  <si>
    <t xml:space="preserve">Tier sakrashi yoki bepul tier</t>
  </si>
  <si>
    <t xml:space="preserve">Kundalik 15% + haftalik 40%/7 ≈ kunlik ishlab chiqarishning 21% i. Bu sezilarli yordam, lekin oʻyinni chetlab oʻtish emas.</t>
  </si>
  <si>
    <t xml:space="preserve">Bepul davolash</t>
  </si>
  <si>
    <t xml:space="preserve">Toʻda hajmini oshirish</t>
  </si>
  <si>
    <t xml:space="preserve">Eng muhim qoida: vazifa mukofoti hech qachon KUCH bermaydi. Resurs va vaqt — ha; stat, tier, toʻda hajmi — yoʻq. Shuning uchun faol oʻyinchi tezroq rivojlanadi, lekin kuchliroq boʻlib ketmaydi.</t>
  </si>
  <si>
    <t xml:space="preserve">Qalqon soatlari</t>
  </si>
  <si>
    <t xml:space="preserve">Bino darajasini bepul koʻtarish</t>
  </si>
  <si>
    <t xml:space="preserve">Kosmetik mukofotlar (unvon, ramka) cheksiz berilishi mumkin — ular balansga umuman taʼsir qilmaydi, lekin maqtanish uchun kuchli motivatsiya.</t>
  </si>
  <si>
    <t xml:space="preserve">Unvon, ramka, skin (kosmetik)</t>
  </si>
  <si>
    <t xml:space="preserve">PvP da doimiy ustunlik</t>
  </si>
  <si>
    <t xml:space="preserve">Mavsum ballari</t>
  </si>
  <si>
    <t xml:space="preserve">Oy toshi (premium valyuta)</t>
  </si>
  <si>
    <t xml:space="preserve">Bozor soligʻini vaqtincha kamaytirish</t>
  </si>
  <si>
    <t xml:space="preserve">Oʻlja koeffitsientini oshirish</t>
  </si>
  <si>
    <t xml:space="preserve">Askar iqtisodi — yigʻish, almashtirish va kuch konversiyasi</t>
  </si>
  <si>
    <t xml:space="preserve">Har rolda 6 tier alohida yigʻiladi. Past tier askarni yuqori tierga almashtirish mumkin — songa son emas, KUCHGA kuch nisbatida.</t>
  </si>
  <si>
    <t xml:space="preserve">Namuna alfa darajasi</t>
  </si>
  <si>
    <t xml:space="preserve">1. TIER KUCHI VA YANGI ASKAR YIGʻISH</t>
  </si>
  <si>
    <t xml:space="preserve">Bitta askar CP</t>
  </si>
  <si>
    <t xml:space="preserve">1-tierga nisbatan kuch</t>
  </si>
  <si>
    <t xml:space="preserve">2. ALMASHTIRISH — nechta past tier askar 1 ta yuqori tier beradi</t>
  </si>
  <si>
    <t xml:space="preserve">Formula: kerakli askar = (yuqori tier CP ÷ past tier CP) × (1 + almashtirish yoʻqotishi)</t>
  </si>
  <si>
    <t xml:space="preserve">Almashtirish</t>
  </si>
  <si>
    <t xml:space="preserve">Kuch nisbati</t>
  </si>
  <si>
    <t xml:space="preserve">Kerakli askar</t>
  </si>
  <si>
    <t xml:space="preserve">Misol: 300 ta past tierdan</t>
  </si>
  <si>
    <t xml:space="preserve">1-tier → 2-tier</t>
  </si>
  <si>
    <t xml:space="preserve">2-tier → 3-tier</t>
  </si>
  <si>
    <t xml:space="preserve">3-tier → 4-tier</t>
  </si>
  <si>
    <t xml:space="preserve">4-tier → 5-tier</t>
  </si>
  <si>
    <t xml:space="preserve">5-tier → 6-tier</t>
  </si>
  <si>
    <t xml:space="preserve">3. QOʻSHIN SIGʻIMI VA TIER TANLOVI</t>
  </si>
  <si>
    <t xml:space="preserve">Qoʻshin sigʻimi</t>
  </si>
  <si>
    <t xml:space="preserve">Maks tier</t>
  </si>
  <si>
    <t xml:space="preserve">Kunlik goʻsht (kg)</t>
  </si>
  <si>
    <t xml:space="preserve">Tier tanlovi</t>
  </si>
  <si>
    <t xml:space="preserve">Tier ochilgach, oʻyinchi xohlagan tierda yangi askar yigʻishi mumkin — arzon va tez (1-tier) yoki qimmat va sekin (yuqori tier)</t>
  </si>
  <si>
    <t xml:space="preserve">Past tier askarlar yoʻqoladi, oʻrniga 1 ta yuqori tier chiqadi. Qoʻshimcha resurs va vaqt talab qilinadi</t>
  </si>
  <si>
    <t xml:space="preserve">Kuch saqlanadi</t>
  </si>
  <si>
    <t xml:space="preserve">Nisbat kuchga asoslangan: 1.45 barobar kuchli askar uchun 1.45 barobar askar kerak, ustiga 10% yoʻqotish</t>
  </si>
  <si>
    <t xml:space="preserve">Nega almashtirish kerak</t>
  </si>
  <si>
    <t xml:space="preserve">Kam sonli kuchli askar kam goʻsht yeydi va bino sigʻimida kam joy oladi — asosiy foyda shu</t>
  </si>
  <si>
    <t xml:space="preserve">Nega hammasi emas</t>
  </si>
  <si>
    <t xml:space="preserve">10% yoʻqotish va resurs xarajati bor. Toʻliq yuqori tierga oʻtish har doim ham foydali emas</t>
  </si>
  <si>
    <t xml:space="preserve">Bino sigʻimi</t>
  </si>
  <si>
    <t xml:space="preserve">Har rol binosi oʻz askarlarini cheklaydi. Sigʻim oshsa — mashq vaqti jazo koeffitsienti bilan choʻziladi</t>
  </si>
  <si>
    <t xml:space="preserve">Jangda yoʻqotilgan askar tieri bilan birga ketadi — yuqori tier askarni yoʻqotish qimmat</t>
  </si>
  <si>
    <t xml:space="preserve">Misol ustuni: 300 ta past tier askarni almashtirsangiz nechta yuqori tier chiqishini koʻrsatadi.</t>
  </si>
  <si>
    <t xml:space="preserve">Yangi askar narxi tier koeffitsientiga VA kuch nisbatiga bogʻlangan — yaʼni yuqori tier askar ikki marta qimmat: ham qimmatroq, ham kuchliroq.</t>
  </si>
  <si>
    <t xml:space="preserve">4. QOʻSHIN TOʻLGANLIGI - yangi askar olish vaqti koeffitsienti</t>
  </si>
  <si>
    <t xml:space="preserve">Koeffitsient = MAX(0.50, (toʻlganlik / normal toʻlganlik) ^ 1.8). Normal toʻlganlik 60%; 100% da 2.51x.</t>
  </si>
  <si>
    <t xml:space="preserve">Qoʻshin toʻlganligi</t>
  </si>
  <si>
    <t xml:space="preserve">1-tier askar (daq)</t>
  </si>
  <si>
    <t xml:space="preserve">6-tier askar (daq)</t>
  </si>
  <si>
    <t xml:space="preserve">5. JANGDAN KEYIN TIKLANISH — ogʻir magʻlubiyat (70% yoʻqotish)</t>
  </si>
  <si>
    <t xml:space="preserve">70% yoʻqotgach qolgan</t>
  </si>
  <si>
    <t xml:space="preserve">Vaqt koeff.</t>
  </si>
  <si>
    <t xml:space="preserve">Tiklash uchun askar</t>
  </si>
  <si>
    <t xml:space="preserve">1-tierda tiklash (soat)</t>
  </si>
  <si>
    <t xml:space="preserve">Quvvat haqiqiy askardan</t>
  </si>
  <si>
    <t xml:space="preserve">Jangovar quvvat qoʻshin SIGʻIMIDAN emas, MAVJUD askarlardan hisoblanadi. Askar oʻlsa - CP darhol tushadi</t>
  </si>
  <si>
    <t xml:space="preserve">Toʻlganlik chegirmasi</t>
  </si>
  <si>
    <t xml:space="preserve">Qoʻshin 30% dan kam boʻlsa vaqt koeffitsienti 0.50x - yoʻqotgan oʻyinchi tez tiklanadi</t>
  </si>
  <si>
    <t xml:space="preserve">Toʻlganlik jazosi</t>
  </si>
  <si>
    <t xml:space="preserve">Qoʻshin 90%+ boʻlsa koeffitsient 2x dan oshadi - cheksiz yigʻish foydasiz</t>
  </si>
  <si>
    <t xml:space="preserve">Ikki koeffitsient</t>
  </si>
  <si>
    <t xml:space="preserve">Yakuniy vaqt = tier vaqti x bino sigʻimi jazosi x qoʻshin toʻlganligi koeff., eng koʻpi 5x</t>
  </si>
  <si>
    <t xml:space="preserve">Sigʻimdan oshmaydi</t>
  </si>
  <si>
    <t xml:space="preserve">Qoʻshin sigʻimi toʻlsa yangi askar yigʻish butunlay toʻxtaydi - avval sigʻimni oshiring</t>
  </si>
  <si>
    <t xml:space="preserve">Kasalxona alohida</t>
  </si>
  <si>
    <t xml:space="preserve">Davolanayotgan askar toʻlganlikka kirmaydi - davolash yigʻishdan har doim tez va arzon</t>
  </si>
  <si>
    <t xml:space="preserve">Tier saqlanadi</t>
  </si>
  <si>
    <t xml:space="preserve">Oʻlgan askar tieri bilan ketadi. 6-tier askarni tiklash 1-tierdan boshlash demak</t>
  </si>
  <si>
    <t xml:space="preserve">Nega adolatli</t>
  </si>
  <si>
    <t xml:space="preserve">Yutqazgan tez tiklanadi, yutgan sekin oʻsadi - farq vaqt oʻtishi bilan yopiladi, lekin gʻalaba baribir foydali</t>
  </si>
  <si>
    <t xml:space="preserve">PvP jang mexanikasi — 1v1 reyd</t>
  </si>
  <si>
    <t xml:space="preserve">Server 9 ta raqib taklif qiladi (-1, teng, +1 daraja). Razvedka ixtiyoriy — razvedkasiz ham hujum qilish mumkin.</t>
  </si>
  <si>
    <t xml:space="preserve">1. RAQIB ROʻYXATI — nima koʻrinadi</t>
  </si>
  <si>
    <t xml:space="preserve">Razvedkasiz</t>
  </si>
  <si>
    <t xml:space="preserve">Razvedka bilan</t>
  </si>
  <si>
    <t xml:space="preserve">Nomi va darajasi</t>
  </si>
  <si>
    <t xml:space="preserve">Koʻrinadi</t>
  </si>
  <si>
    <t xml:space="preserve">Roʻyxatda darhol</t>
  </si>
  <si>
    <t xml:space="preserve">Masofa (km)</t>
  </si>
  <si>
    <t xml:space="preserve">Yurish vaqtini belgilaydi</t>
  </si>
  <si>
    <t xml:space="preserve">Faqat band: Kuchsiz / Teng / Kuchli</t>
  </si>
  <si>
    <t xml:space="preserve">Aniq CP</t>
  </si>
  <si>
    <t xml:space="preserve">Razvedkaning asosiy foydasi</t>
  </si>
  <si>
    <t xml:space="preserve">Rol va tier boʻyicha</t>
  </si>
  <si>
    <t xml:space="preserve">Faqat razvedka orqali</t>
  </si>
  <si>
    <t xml:space="preserve">Resurs miqdori</t>
  </si>
  <si>
    <t xml:space="preserve">Taxminiy (1.5x) yoki aniq (2.5x)</t>
  </si>
  <si>
    <t xml:space="preserve">Razvedka nisbatiga qarab</t>
  </si>
  <si>
    <t xml:space="preserve">Oziq gʻori darajasi</t>
  </si>
  <si>
    <t xml:space="preserve">Aniq bosqichda koʻrinadi</t>
  </si>
  <si>
    <t xml:space="preserve">Himoya foizini hisoblash uchun</t>
  </si>
  <si>
    <t xml:space="preserve">Qalqon holati</t>
  </si>
  <si>
    <t xml:space="preserve">Qalqondagilar roʻyxatga tushmaydi</t>
  </si>
  <si>
    <t xml:space="preserve">Oxirgi faollik</t>
  </si>
  <si>
    <t xml:space="preserve">Faol / oflayn belgisi</t>
  </si>
  <si>
    <t xml:space="preserve">2. MASOFA VA YURISH VAQTI (daqiqa)</t>
  </si>
  <si>
    <t xml:space="preserve">Qoʻshin yurishi</t>
  </si>
  <si>
    <t xml:space="preserve">Razvedka yurishi</t>
  </si>
  <si>
    <t xml:space="preserve">Borib-qaytish</t>
  </si>
  <si>
    <t xml:space="preserve">Xavf</t>
  </si>
  <si>
    <t xml:space="preserve">Past - tez qaytasiz</t>
  </si>
  <si>
    <t xml:space="preserve">Oʻrta - in himoyasiz qoladi</t>
  </si>
  <si>
    <t xml:space="preserve">Yuqori - uzoq himoyasiz</t>
  </si>
  <si>
    <t xml:space="preserve">Qoʻshin 20 km/soat, razvedka 60 km/soat — razvedka 3 barobar tez qaytadi.</t>
  </si>
  <si>
    <t xml:space="preserve">3. JANG HISOBI — kuch nisbatiga asoslangan</t>
  </si>
  <si>
    <t xml:space="preserve">Samarali kuch (EP) = yigʻindi(askar × tier CP) × aralash qoʻshin qarshi-kuch koeff. × holat koeff. Nisbat R = hujumchi EP / himoyachi EP (GDD bo'lim 7).</t>
  </si>
  <si>
    <t xml:space="preserve">Kuch nisbati R</t>
  </si>
  <si>
    <t xml:space="preserve">Himoyachi yoʻqotishi</t>
  </si>
  <si>
    <t xml:space="preserve">Hujumchi: oʻlim / kasalxona</t>
  </si>
  <si>
    <t xml:space="preserve">Himoyachi: oʻlim / kasalxona</t>
  </si>
  <si>
    <t xml:space="preserve">4. JANG TARTIBI — 5 raund</t>
  </si>
  <si>
    <t xml:space="preserve">5. QOʻSHIMCHA QOIDALAR</t>
  </si>
  <si>
    <t xml:space="preserve">Raund 0 - yaqinlashuv</t>
  </si>
  <si>
    <t xml:space="preserve">Razvedkachilar tuzoq va pistirmani aniqlaydi. Razvedka qilinmagan boʻlsa tuzoqqa tushish ehtimoli 15%</t>
  </si>
  <si>
    <t xml:space="preserve">Roʻyxat yangilanishi</t>
  </si>
  <si>
    <t xml:space="preserve">30 daqiqada yoki 3 ta hujumdan keyin</t>
  </si>
  <si>
    <t xml:space="preserve">Raund 1 - toʻqnashuv</t>
  </si>
  <si>
    <t xml:space="preserve">Hujumchilar himoyachilarga uriladi. Qarshi-kuch uchburchagi shu yerda qoʻllanadi</t>
  </si>
  <si>
    <t xml:space="preserve">Bir raqibga limit</t>
  </si>
  <si>
    <t xml:space="preserve">24 soat ichida 3 marta</t>
  </si>
  <si>
    <t xml:space="preserve">Raund 2-3 - asosiy jang</t>
  </si>
  <si>
    <t xml:space="preserve">Har raundda ikki tomon EP siga proporsional zarar beradi, zarar +/-10% tasodif bilan</t>
  </si>
  <si>
    <t xml:space="preserve">Razvedka narxi</t>
  </si>
  <si>
    <t xml:space="preserve">Bepul, 10 daqiqa kutish; muvaffaqiyatsiz boʻlsa 10% razvedkachi jarohatlanadi</t>
  </si>
  <si>
    <t xml:space="preserve">Raund 4 - hal qiluvchi</t>
  </si>
  <si>
    <t xml:space="preserve">Kuchi 20% dan kam qolgan tomon chekinishni boshlaydi</t>
  </si>
  <si>
    <t xml:space="preserve">Razvedkasiz hujum</t>
  </si>
  <si>
    <t xml:space="preserve">Mumkin, lekin tuzoq ehtimoli 15% - olingan zarar +20%</t>
  </si>
  <si>
    <t xml:space="preserve">Raund 5 - yakun</t>
  </si>
  <si>
    <t xml:space="preserve">Gʻolib aniqlanadi. Gʻolib hujumchi boʻlsa, oʻlja yuk sigʻimigacha olinadi</t>
  </si>
  <si>
    <t xml:space="preserve">Qoʻshin tanlash</t>
  </si>
  <si>
    <t xml:space="preserve">Qaysi rol va tierdan nechta yuborishni oʻyinchi oʻzi tanlaydi</t>
  </si>
  <si>
    <t xml:space="preserve">Qaytish</t>
  </si>
  <si>
    <t xml:space="preserve">Qoʻshin masofa boʻyicha qaytadi. Yoʻlda hujum qilib boʻlmaydi</t>
  </si>
  <si>
    <t xml:space="preserve">Inni boʻshatish</t>
  </si>
  <si>
    <t xml:space="preserve">Yuborilgan askarlar inda yoʻq - shu vaqtda sizga hujum qilinsa himoyasizsiz</t>
  </si>
  <si>
    <t xml:space="preserve">Hisobot</t>
  </si>
  <si>
    <t xml:space="preserve">Ikkala tomon toʻliq jang jurnalini koʻradi: kim, nechta askar, qancha zarar, qancha oʻlja</t>
  </si>
  <si>
    <t xml:space="preserve">Bekor qilish</t>
  </si>
  <si>
    <t xml:space="preserve">Yurish paytida qaytarib chaqirish mumkin (qaytish vaqti toʻliq)</t>
  </si>
  <si>
    <t xml:space="preserve">Reydda 30%+ yoʻqotgan himoyachiga 8 soat qalqon; oʻzi oʻyinchiga hujum qilsa oʻchadi</t>
  </si>
  <si>
    <t xml:space="preserve">Himoyalanmagan goʻsht × 0.22, yuk sigʻimigacha</t>
  </si>
  <si>
    <t xml:space="preserve">Yoʻqotish: hujumchi = 40% / R, himoyachi = 40% x R, ikkalasi 90% bilan cheklangan.</t>
  </si>
  <si>
    <t xml:space="preserve">Faqat server tayinlagan mavsum janglari hisoblanadi</t>
  </si>
  <si>
    <t xml:space="preserve">Himoyachi uyda jang qilgani uchun kamroq oʻladi (25%), hujumchi uzoqda (40%) - bu himoyani ragʻbatlantiradi.</t>
  </si>
  <si>
    <t xml:space="preserve">Hech bir jangda askar toʻliq yoʻqolmaydi: maksimal yoʻqotish 90%, yoʻqotilganlarning 60–75% i jarohatlanadi va davolanadi.</t>
  </si>
  <si>
    <t xml:space="preserve">Toʻda (klan) jangi mexanikasi</t>
  </si>
  <si>
    <t xml:space="preserve">Klan darajasi 1-25. Server faqat mos kuchdagi klanlarni taklif qiladi, maqsadni oʻyinchilar oʻzi tanlaydi. Urush 12 soat davom etadi.</t>
  </si>
  <si>
    <t xml:space="preserve">1. KLAN DARAJASI</t>
  </si>
  <si>
    <t xml:space="preserve">Klan darajasi</t>
  </si>
  <si>
    <t xml:space="preserve">Kerakli klan XP</t>
  </si>
  <si>
    <t xml:space="preserve">Maks aʼzo</t>
  </si>
  <si>
    <t xml:space="preserve">Klan bonusi</t>
  </si>
  <si>
    <t xml:space="preserve">Klan yaratildi</t>
  </si>
  <si>
    <t xml:space="preserve">Klan xazinasi</t>
  </si>
  <si>
    <t xml:space="preserve">Hudud egallash</t>
  </si>
  <si>
    <t xml:space="preserve">Ikki frontli urush</t>
  </si>
  <si>
    <t xml:space="preserve">Ittifoq tuzish</t>
  </si>
  <si>
    <t xml:space="preserve">Server bayrogʻi</t>
  </si>
  <si>
    <t xml:space="preserve">Klan XP = aʼzolarning jang hissalari yigʻindisi. Klan bonusi barcha aʼzolarning ishlab chiqarishiga qoʻshiladi.</t>
  </si>
  <si>
    <t xml:space="preserve">2. RAQIB TANLASH</t>
  </si>
  <si>
    <t xml:space="preserve">3. KELISHUVGA QARSHI HIMOYA</t>
  </si>
  <si>
    <t xml:space="preserve">Taklif</t>
  </si>
  <si>
    <t xml:space="preserve">Server klan kuchiga mos 6 ta klanni koʻrsatadi</t>
  </si>
  <si>
    <t xml:space="preserve">Minimal ishtirok</t>
  </si>
  <si>
    <t xml:space="preserve">Klan oʻz kuchining kamida 25% ini yuborishi shart. Aks holda urush bekor - ikkala tomon ham mukofotsiz</t>
  </si>
  <si>
    <t xml:space="preserve">Kuch oynasi</t>
  </si>
  <si>
    <t xml:space="preserve">Faqat +/-20% kuchdagi klanlar roʻyxatga tushadi</t>
  </si>
  <si>
    <t xml:space="preserve">Aʼzo ishtiroki</t>
  </si>
  <si>
    <t xml:space="preserve">Aʼzolarning kamida 40% i askar yuborishi shart</t>
  </si>
  <si>
    <t xml:space="preserve">Tanlov</t>
  </si>
  <si>
    <t xml:space="preserve">Maqsadni klan rahbari yoki beta tanlaydi</t>
  </si>
  <si>
    <t xml:space="preserve">Gʻolib ham yoʻqotadi</t>
  </si>
  <si>
    <t xml:space="preserve">Gʻolib yuborgan askarining 20% ini yoʻqotadi - ataylab yutish ham qimmat</t>
  </si>
  <si>
    <t xml:space="preserve">Garov</t>
  </si>
  <si>
    <t xml:space="preserve">Urush eʼlon qilgan klan xazinasining 5% ini garovga qoʻyadi</t>
  </si>
  <si>
    <t xml:space="preserve">Garov yonadi</t>
  </si>
  <si>
    <t xml:space="preserve">Minimal ishtirok bajarilmasa garov qaytmaydi</t>
  </si>
  <si>
    <t xml:space="preserve">Qabul qilish</t>
  </si>
  <si>
    <t xml:space="preserve">Raqib klanga 30 daqiqa beriladi; rad etsa yoki javob bermasa klan reytingidan 50 ball yoʻqotadi, garov qaytariladi</t>
  </si>
  <si>
    <t xml:space="preserve">+/-20% dan tashqaridagi klan roʻyxatga umuman chiqmaydi</t>
  </si>
  <si>
    <t xml:space="preserve">Takror blok</t>
  </si>
  <si>
    <t xml:space="preserve">Bir juftlik 7 kun ichida qayta urusholmaydi</t>
  </si>
  <si>
    <t xml:space="preserve">Takror juftlik</t>
  </si>
  <si>
    <t xml:space="preserve">Bir juftlik 7 kunda 1 marta - navbatma-navbat yutqazib berish ishlamaydi</t>
  </si>
  <si>
    <t xml:space="preserve">Bir vaqtda</t>
  </si>
  <si>
    <t xml:space="preserve">Bitta klan bir vaqtda faqat 1 ta urushda (15-darajadan 2 ta)</t>
  </si>
  <si>
    <t xml:space="preserve">Mavsum tekshiruvi</t>
  </si>
  <si>
    <t xml:space="preserve">Urush grafigi tahlil qilinadi: yopiq halqa aniqlansa ikkala klan ham chiqariladi</t>
  </si>
  <si>
    <t xml:space="preserve">Hissa oʻlchovi</t>
  </si>
  <si>
    <t xml:space="preserve">Ball yuborilgan askar soniga emas, YETKAZILGAN ZARARGA qarab beriladi</t>
  </si>
  <si>
    <t xml:space="preserve">4. 12 SOATLIK URUSH TARTIBI</t>
  </si>
  <si>
    <t xml:space="preserve">Vaqt</t>
  </si>
  <si>
    <t xml:space="preserve">Nima boʻladi</t>
  </si>
  <si>
    <t xml:space="preserve">Tayyorgarlik</t>
  </si>
  <si>
    <t xml:space="preserve">0:00 - 1:00</t>
  </si>
  <si>
    <t xml:space="preserve">Askar yuborish ochiq, jang boshlanmagan. Rahbar taktika belgilaydi</t>
  </si>
  <si>
    <t xml:space="preserve">1-toʻlqin</t>
  </si>
  <si>
    <t xml:space="preserve">1:00 - 5:00</t>
  </si>
  <si>
    <t xml:space="preserve">Yuborilgan askarlar toʻqnashadi. Har soat natija hisoblanadi</t>
  </si>
  <si>
    <t xml:space="preserve">Oraliq</t>
  </si>
  <si>
    <t xml:space="preserve">5:00 - 6:00</t>
  </si>
  <si>
    <t xml:space="preserve">Yangi askar yuborish mumkin. Jarohatlanganlar davolanadi</t>
  </si>
  <si>
    <t xml:space="preserve">2-toʻlqin</t>
  </si>
  <si>
    <t xml:space="preserve">6:00 - 11:00</t>
  </si>
  <si>
    <t xml:space="preserve">Asosiy jang. Ball farqi shu yerda hal boʻladi</t>
  </si>
  <si>
    <t xml:space="preserve">Yakun</t>
  </si>
  <si>
    <t xml:space="preserve">11:00 - 12:00</t>
  </si>
  <si>
    <t xml:space="preserve">Yangi askar qabul qilinmaydi. Yakuniy hisob</t>
  </si>
  <si>
    <t xml:space="preserve">12:00</t>
  </si>
  <si>
    <t xml:space="preserve">Gʻolib eʼlon qilinadi, mukofot taqsimlanadi, yoʻqotishlar qayd etiladi</t>
  </si>
  <si>
    <t xml:space="preserve">5. YOʻQOTISHLAR — ikkala tomon ham yoʻqotadi</t>
  </si>
  <si>
    <t xml:space="preserve">Tomon</t>
  </si>
  <si>
    <t xml:space="preserve">Yuborilgan askardan yoʻqotish</t>
  </si>
  <si>
    <t xml:space="preserve">Oʻladi</t>
  </si>
  <si>
    <t xml:space="preserve">Kasalxonaga</t>
  </si>
  <si>
    <t xml:space="preserve">Qaytadi</t>
  </si>
  <si>
    <t xml:space="preserve">Gʻolib klan</t>
  </si>
  <si>
    <t xml:space="preserve">Magʻlub klan</t>
  </si>
  <si>
    <t xml:space="preserve">Gʻolib: yuborgan askarining 20% i yoʻqoladi - 6% oʻladi, 14% kasalxonaga, 80% sogʻ qaytadi.</t>
  </si>
  <si>
    <t xml:space="preserve">Magʻlub: 40% yoʻqoladi - 18% oʻladi, 22% kasalxonaga, 60% qaytadi. Gʻalaba ham bepul emas.</t>
  </si>
  <si>
    <t xml:space="preserve">Yuqori tier askar yoʻqotish qimmatroq: 6-tier askar 824 kg goʻsht va 330 suyakka tushgan.</t>
  </si>
  <si>
    <t xml:space="preserve">6. AʼZO MUKOFOTI - hissaga qarab</t>
  </si>
  <si>
    <t xml:space="preserve">Hissa balli = yuborilgan askarlarning samarali kuchi (EP) x yetkazilgan zarar ulushi. Mukofot = (shaxsiy ball / klan jami balli) x urush fondi.</t>
  </si>
  <si>
    <t xml:space="preserve">Aʼzo</t>
  </si>
  <si>
    <t xml:space="preserve">Yuborgan askar</t>
  </si>
  <si>
    <t xml:space="preserve">Askar kuchi (EP)</t>
  </si>
  <si>
    <t xml:space="preserve">Hissa balli</t>
  </si>
  <si>
    <t xml:space="preserve">Alfa</t>
  </si>
  <si>
    <t xml:space="preserve">Beta</t>
  </si>
  <si>
    <t xml:space="preserve">Aʼzo A</t>
  </si>
  <si>
    <t xml:space="preserve">Aʼzo B</t>
  </si>
  <si>
    <t xml:space="preserve">Aʼzo C</t>
  </si>
  <si>
    <t xml:space="preserve">Aʼzo D</t>
  </si>
  <si>
    <t xml:space="preserve">Urush fondi (tanga)</t>
  </si>
  <si>
    <t xml:space="preserve">Magʻlub klan aʼzolari ishtirok mukofoti oladi</t>
  </si>
  <si>
    <t xml:space="preserve">Magʻlub klan aʼzolari gʻolib mukofotining 25% ini oladi - qatnashgan odam quruq qolmaydi, lekin yutqazish baribir ogʻriydi.</t>
  </si>
  <si>
    <t xml:space="preserve">Askar YUBORMAGAN aʼzo hech narsa olmaydi - hatto klan gʻalaba qozonsa ham. Bu tekinxoʻrlikni toʻxtatadi.</t>
  </si>
  <si>
    <t xml:space="preserve">Ball yuborilgan askar soniga emas, samarali kuch va yetkazilgan zararga qarab beriladi - 100 ta 1-tier askar 20 ta 6-tier askardan kam ball oladi.</t>
  </si>
  <si>
    <t xml:space="preserve">Oflayn hisob - oʻyinchi kirmagan vaqtda nima boʻladi</t>
  </si>
  <si>
    <t xml:space="preserve">Asosiy tamoyil: hamma narsa TIMESTAMP asosida hisoblanadi, tick emas. Oʻyinchi kirganda farq bir marta hisoblanadi.</t>
  </si>
  <si>
    <t xml:space="preserve">1. VAQT SHKALASI</t>
  </si>
  <si>
    <t xml:space="preserve">Yoʻqlik vaqti</t>
  </si>
  <si>
    <t xml:space="preserve">Ishlab chiqarish</t>
  </si>
  <si>
    <t xml:space="preserve">Oziqlanish</t>
  </si>
  <si>
    <t xml:space="preserve">Qoʻshin</t>
  </si>
  <si>
    <t xml:space="preserve">PvP holati</t>
  </si>
  <si>
    <t xml:space="preserve">0 - 20 soat</t>
  </si>
  <si>
    <t xml:space="preserve">70% oflayn stavka, Ustaxona buferi toʻlguncha (oflaynda 2× = 20 soat)</t>
  </si>
  <si>
    <t xml:space="preserve">Ombordan yeydi</t>
  </si>
  <si>
    <t xml:space="preserve">Normal</t>
  </si>
  <si>
    <t xml:space="preserve">Hujum qilinadi</t>
  </si>
  <si>
    <t xml:space="preserve">20 soat - 3 kun</t>
  </si>
  <si>
    <t xml:space="preserve">Bufer toʻlgan - toʻxtaydi</t>
  </si>
  <si>
    <t xml:space="preserve">Zaxira kamayadi</t>
  </si>
  <si>
    <t xml:space="preserve">Hujum qilinadi; 24 soatdan keyin oʻlja 0.5x</t>
  </si>
  <si>
    <t xml:space="preserve">3 - ~7 kun</t>
  </si>
  <si>
    <t xml:space="preserve">Toʻxtagan</t>
  </si>
  <si>
    <t xml:space="preserve">Zaxira kamayadi (oflayn ombor ~6-7 kunga yetadi)</t>
  </si>
  <si>
    <t xml:space="preserve">Uyqu qalqoni (72 soatdan)</t>
  </si>
  <si>
    <t xml:space="preserve">Zaxira tugagach</t>
  </si>
  <si>
    <t xml:space="preserve">Ochlik</t>
  </si>
  <si>
    <t xml:space="preserve">CP -30%</t>
  </si>
  <si>
    <t xml:space="preserve">Uyqu qalqoni</t>
  </si>
  <si>
    <t xml:space="preserve">Ochlikning 7-kunidan</t>
  </si>
  <si>
    <t xml:space="preserve">Har kuni 1% ketadi (maks 50%)</t>
  </si>
  <si>
    <t xml:space="preserve">Qalqon davom etadi</t>
  </si>
  <si>
    <t xml:space="preserve">2. OMBOR NECHA KUNGA YETADI</t>
  </si>
  <si>
    <t xml:space="preserve">Oʻyinchi yoʻqligida (oxirgi soʻrovdan 5 daqiqadan koʻp) Oziq gʻori sigʻimi va Ustaxona buferi 2x ga kengayadi (“Oflayn ombor +50%” xaridi bilan 2.5x).</t>
  </si>
  <si>
    <t xml:space="preserve">Kunlik goʻsht</t>
  </si>
  <si>
    <t xml:space="preserve">Oddiy sigʻim</t>
  </si>
  <si>
    <t xml:space="preserve">Oflayn sigʻim (2x)</t>
  </si>
  <si>
    <t xml:space="preserve">Necha kunga yetadi</t>
  </si>
  <si>
    <t xml:space="preserve">3 kundan keyin</t>
  </si>
  <si>
    <t xml:space="preserve">3. OCHLIK REJIMI - askar YOʻQOLMAYDI</t>
  </si>
  <si>
    <t xml:space="preserve">4. QAYTISH EKRANI</t>
  </si>
  <si>
    <t xml:space="preserve">-30% - qoʻshin zaiflashadi, lekin joyida turadi</t>
  </si>
  <si>
    <t xml:space="preserve">Sarlavha</t>
  </si>
  <si>
    <t xml:space="preserve">Qaytganingiz bilan, alfa! Siz 3 kun yoʻq edingiz</t>
  </si>
  <si>
    <t xml:space="preserve">-50% - Ustaxona sekin ishlaydi</t>
  </si>
  <si>
    <t xml:space="preserve">Yigʻilgan resurs, tugagan qurilish, tayyor askarlar, kelgan hujumlar</t>
  </si>
  <si>
    <t xml:space="preserve">Askar yoʻqotish</t>
  </si>
  <si>
    <t xml:space="preserve">Birinchi 7 kun - YOʻQ. Hech kim ketmaydi</t>
  </si>
  <si>
    <t xml:space="preserve">Jang jurnali</t>
  </si>
  <si>
    <t xml:space="preserve">Kim hujum qildi, qancha oʻlja ketdi, kim himoya qildi</t>
  </si>
  <si>
    <t xml:space="preserve">7 kundan keyin</t>
  </si>
  <si>
    <t xml:space="preserve">Kuniga 1% askar ketadi, eng koʻpi 50% gacha</t>
  </si>
  <si>
    <t xml:space="preserve">Kirgandan keyin 30 daqiqa qalqon - tinch tiklanish uchun</t>
  </si>
  <si>
    <t xml:space="preserve">Tiklanish</t>
  </si>
  <si>
    <t xml:space="preserve">Goʻsht qoʻshilishi bilan jazolar darhol oʻchadi</t>
  </si>
  <si>
    <t xml:space="preserve">Qaytish paketi</t>
  </si>
  <si>
    <t xml:space="preserve">Kichik goʻsht paketi (1 kunlik sarf) - ochlikdan chiqish uchun</t>
  </si>
  <si>
    <t xml:space="preserve">Nega shunday</t>
  </si>
  <si>
    <t xml:space="preserve">Oʻyinchi 3 kundan keyin qaytganda boʻsh ekran koʻrsa - boshqa qaytmaydi</t>
  </si>
  <si>
    <t xml:space="preserve">Birinchi tugma</t>
  </si>
  <si>
    <t xml:space="preserve">Toʻdani boq - bitta bosishda ochlikni yopish</t>
  </si>
  <si>
    <t xml:space="preserve">Ketma-ket kunlar</t>
  </si>
  <si>
    <t xml:space="preserve">Uzilsa nolga tushmaydi, oxirgi darajadan davom etadi</t>
  </si>
  <si>
    <t xml:space="preserve">5. TEXNIK QOIDALAR</t>
  </si>
  <si>
    <t xml:space="preserve">Timestamp asosida</t>
  </si>
  <si>
    <t xml:space="preserve">Har resursda last_update vaqti saqlanadi. Kirganda: (hozir - last_update) x stavka, sigʻim bilan cheklanadi</t>
  </si>
  <si>
    <t xml:space="preserve">Tick yoʻq</t>
  </si>
  <si>
    <t xml:space="preserve">Server har soniya hech narsa hisoblamaydi - faqat soʻrov kelganda. 10 ming oʻyinchi uchun ham arzon</t>
  </si>
  <si>
    <t xml:space="preserve">Navbatlar</t>
  </si>
  <si>
    <t xml:space="preserve">Qurilish, mashq, yurish, davolash - hammasi tugash vaqti bilan saqlanadi va oflaynda tugaydi</t>
  </si>
  <si>
    <t xml:space="preserve">Oflayn stavka 70%</t>
  </si>
  <si>
    <t xml:space="preserve">Oflaynda ishlab chiqarish 70% - kirish uchun sabab, lekin jazo emas</t>
  </si>
  <si>
    <t xml:space="preserve">Ombor cheklovi</t>
  </si>
  <si>
    <t xml:space="preserve">Toʻlgandan keyin ishlab chiqarish toʻxtaydi - shuning uchun uzoq yoʻqlik baribir yoʻqotish</t>
  </si>
  <si>
    <t xml:space="preserve">72 soatdan keyin avtomatik. Kirganda 30 daqiqadan keyin oʻchadi</t>
  </si>
  <si>
    <t xml:space="preserve">Oʻlja koeffitsienti</t>
  </si>
  <si>
    <t xml:space="preserve">1 kundan koʻp yoʻq oʻyinchidan olinadigan oʻlja yarmiga tushadi - oflayn oʻyinchini talash foydasiz</t>
  </si>
  <si>
    <t xml:space="preserve">Jang hisobi</t>
  </si>
  <si>
    <t xml:space="preserve">Oflaynda kelgan hujumlar server tomonida hisoblanadi, natija jurnalga yoziladi</t>
  </si>
  <si>
    <t xml:space="preserve">Uch kunlik yoʻqlik ATAYLAB qoplanadigan qilib sozlangan: oflayn ombor 2x kengayishi aynan shuning uchun.</t>
  </si>
  <si>
    <t xml:space="preserve">Agar biror darajada ustun 3 kundan kam koʻrsatsa - oʻsha darajada Oziq gʻori sigʻimi yetarli emas, kengaytmani oshiring.</t>
  </si>
  <si>
    <t xml:space="preserve">Monetizatsiya - vaqt sotiladi, kuch sotilmaydi</t>
  </si>
  <si>
    <t xml:space="preserve">Asosiy himoya: kunlik tezlashtirish chegarasi. Pul toʻlagan oʻyinchi kuniga faqat 25% oldinga chiqa oladi, qancha toʻlashidan qatʼi nazar.</t>
  </si>
  <si>
    <t xml:space="preserve">1. SOTILADI / SOTILMAYDI</t>
  </si>
  <si>
    <t xml:space="preserve">Sotiladi</t>
  </si>
  <si>
    <t xml:space="preserve">Sotilmaydi</t>
  </si>
  <si>
    <t xml:space="preserve">Sababi</t>
  </si>
  <si>
    <t xml:space="preserve">Tezlashtirish (chegara bilan)</t>
  </si>
  <si>
    <t xml:space="preserve">Askar yoki tier</t>
  </si>
  <si>
    <t xml:space="preserve">Toʻgʻridan-toʻgʻri kuch</t>
  </si>
  <si>
    <t xml:space="preserve">Ikkinchi qurilish navbati (erta ochish)</t>
  </si>
  <si>
    <t xml:space="preserve">Qulaylik</t>
  </si>
  <si>
    <t xml:space="preserve">CP yoki stat bonusi</t>
  </si>
  <si>
    <t xml:space="preserve">PvP balansini buzadi</t>
  </si>
  <si>
    <t xml:space="preserve">Oflayn ombor +50%</t>
  </si>
  <si>
    <t xml:space="preserve">Kuch chegarasi</t>
  </si>
  <si>
    <t xml:space="preserve">Avtomatik yigʻish</t>
  </si>
  <si>
    <t xml:space="preserve">PvP daromadi</t>
  </si>
  <si>
    <t xml:space="preserve">Skin, unvon, ramka, in bezagi</t>
  </si>
  <si>
    <t xml:space="preserve">Kosmetik</t>
  </si>
  <si>
    <t xml:space="preserve">Progressiyani chetlab oʻtish</t>
  </si>
  <si>
    <t xml:space="preserve">Mavsum yoʻli (battle pass)</t>
  </si>
  <si>
    <t xml:space="preserve">Qoʻshimcha mukofot</t>
  </si>
  <si>
    <t xml:space="preserve">Qalqon (PvP paytida)</t>
  </si>
  <si>
    <t xml:space="preserve">Himoyani sotib olish</t>
  </si>
  <si>
    <t xml:space="preserve">Resurs paketi (chegara bilan)</t>
  </si>
  <si>
    <t xml:space="preserve">Klan urushi bonusi</t>
  </si>
  <si>
    <t xml:space="preserve">Jamoaviy adolatsizlik</t>
  </si>
  <si>
    <t xml:space="preserve">Nom oʻzgartirish, koʻchish</t>
  </si>
  <si>
    <t xml:space="preserve">Mukofot fondi ulushi</t>
  </si>
  <si>
    <t xml:space="preserve">Pulni pulga almashtirish</t>
  </si>
  <si>
    <t xml:space="preserve">2. TEZLASHTIRISH NARXI - progressiv qimmatlashadi</t>
  </si>
  <si>
    <t xml:space="preserve">Har keyingi soat 1.6 barobar qimmat. Shuning uchun 1 soat arzon, 5 soat juda qimmat - katta sakrash iqtisodiy jihatdan maʼnosiz.</t>
  </si>
  <si>
    <t xml:space="preserve">Blok</t>
  </si>
  <si>
    <t xml:space="preserve">Blok narxi (oy toshi)</t>
  </si>
  <si>
    <t xml:space="preserve">Jami narx</t>
  </si>
  <si>
    <t xml:space="preserve">Jami narx ($)</t>
  </si>
  <si>
    <t xml:space="preserve">1 soatning narxi ($)</t>
  </si>
  <si>
    <t xml:space="preserve">1 soat</t>
  </si>
  <si>
    <t xml:space="preserve">2 soat</t>
  </si>
  <si>
    <t xml:space="preserve">3 soat</t>
  </si>
  <si>
    <t xml:space="preserve">4 soat</t>
  </si>
  <si>
    <t xml:space="preserve">5 soat</t>
  </si>
  <si>
    <t xml:space="preserve">6 soat</t>
  </si>
  <si>
    <t xml:space="preserve">3. KUNLIK CHEGARA - eng muhim himoya</t>
  </si>
  <si>
    <t xml:space="preserve">Sotib olish mumkin (25%)</t>
  </si>
  <si>
    <t xml:space="preserve">Bu necha soatlik progress</t>
  </si>
  <si>
    <t xml:space="preserve">Kunlik maksimal xarajat ($)</t>
  </si>
  <si>
    <t xml:space="preserve">Oyiga ($)</t>
  </si>
  <si>
    <t xml:space="preserve">Tezlashuv</t>
  </si>
  <si>
    <t xml:space="preserve">4. OY TOSHI PAKETLARI</t>
  </si>
  <si>
    <t xml:space="preserve">5. DOIMIY XARIDLAR</t>
  </si>
  <si>
    <t xml:space="preserve">Paket</t>
  </si>
  <si>
    <t xml:space="preserve">Oy toshi</t>
  </si>
  <si>
    <t xml:space="preserve">Narx ($)</t>
  </si>
  <si>
    <t xml:space="preserve">Ikkinchi navbat — erta ochish</t>
  </si>
  <si>
    <t xml:space="preserve">4–9 darajada ochadi; 10-darajadan hammaga bepul — uzoq muddatda ustunlik bermaydi</t>
  </si>
  <si>
    <t xml:space="preserve">Kichik</t>
  </si>
  <si>
    <t xml:space="preserve">Mavsum yoʻli</t>
  </si>
  <si>
    <t xml:space="preserve">Qoʻshimcha mukofot - faqat oʻynasangiz ochiladi</t>
  </si>
  <si>
    <t xml:space="preserve">Oʻrta</t>
  </si>
  <si>
    <t xml:space="preserve">800 oy toshi</t>
  </si>
  <si>
    <t xml:space="preserve">Oflayn koeff. 2.0 → 2.5. Uzoq yoʻqlikni qoplaydi</t>
  </si>
  <si>
    <t xml:space="preserve">Katta</t>
  </si>
  <si>
    <t xml:space="preserve">600 oy toshi</t>
  </si>
  <si>
    <t xml:space="preserve">Resurs oʻzi omborga tushadi</t>
  </si>
  <si>
    <t xml:space="preserve">Skin toʻplami</t>
  </si>
  <si>
    <t xml:space="preserve">200-900 oy toshi</t>
  </si>
  <si>
    <t xml:space="preserve">Faqat koʻrinish - balansga taʼsiri yoʻq</t>
  </si>
  <si>
    <t xml:space="preserve">6. QOIDALAR</t>
  </si>
  <si>
    <t xml:space="preserve">Kunlik chegara</t>
  </si>
  <si>
    <t xml:space="preserve">Tezlashtirish kunlik progressning 25% idan oshmaydi. Chegara tugagach tugma oʻchadi - ertaga qaytadi</t>
  </si>
  <si>
    <t xml:space="preserve">Progressiv narx</t>
  </si>
  <si>
    <t xml:space="preserve">Har keyingi soat 1.6x qimmat. 6 soat sotib olish 1 soatdan 40 barobar qimmatga tushadi</t>
  </si>
  <si>
    <t xml:space="preserve">Borish yoʻlida yoʻq</t>
  </si>
  <si>
    <t xml:space="preserve">Hujumga ketayotgan qoʻshinni tezlashtirib boʻlmaydi - aks holda raqib himoyaga ulgurmaydi</t>
  </si>
  <si>
    <t xml:space="preserve">QAYTISHDA MUMKIN</t>
  </si>
  <si>
    <t xml:space="preserve">PvP, lager va oazisdan QAYTISH vaqtini tezlashtirish mumkin - jang allaqachon hal boʻlgan</t>
  </si>
  <si>
    <t xml:space="preserve">Hujum ostida yoʻq</t>
  </si>
  <si>
    <t xml:space="preserve">Iningizga hujum kelayotgan boʻlsa qaytishni tezlashtirib boʻlmaydi - pullik himoya boʻlib qolmasin</t>
  </si>
  <si>
    <t xml:space="preserve">Klan urushida yoʻq</t>
  </si>
  <si>
    <t xml:space="preserve">12 soatlik urush davomida tezlashtirish butunlay oʻchirilgan</t>
  </si>
  <si>
    <t xml:space="preserve">Qalqon sotilmaydi</t>
  </si>
  <si>
    <t xml:space="preserve">Qalqon faqat oʻyin qoidalari boʻyicha beriladi</t>
  </si>
  <si>
    <t xml:space="preserve">Mukofot fondi</t>
  </si>
  <si>
    <t xml:space="preserve">Pul mukofoti fondidan ulush sotib boʻlmaydi - aks holda pulni pulga almashtirish boʻladi</t>
  </si>
  <si>
    <t xml:space="preserve">Yangi oʻyinchi</t>
  </si>
  <si>
    <t xml:space="preserve">Birinchi 7 kun hech narsa sotilmaydi - avval oʻyinni tushunsin</t>
  </si>
  <si>
    <t xml:space="preserve">Natija: eng koʻp toʻlagan oʻyinchi bepul oʻynagandan koʻpi bilan 1.25x tez rivojlanadi - 5x emas. Ikkinchi navbat 10-darajada hammaga bepul boʻlgani uchun bu hisobni buzmaydi.</t>
  </si>
  <si>
    <t xml:space="preserve">Har xarid ekranida 'bu nimani tezlashtiradi' aniq yozilsin</t>
  </si>
  <si>
    <t xml:space="preserve">Kuch sotilmagani uchun teng darajadagi bepul oʻyinchi pullik oʻyinchini yengishi mumkin - bu PvP ni tirik saqlaydi.</t>
  </si>
  <si>
    <t xml:space="preserve">Daromad manbai: koʻp toʻlovchi emas, koʻp oʻyinchi. Shuning uchun ARPU past ($0.05), lekin baza katta boʻlishi kerak.</t>
  </si>
  <si>
    <t xml:space="preserve">7. QAYTISH TEZLASHTIRISHI - PvP, lager va oazis</t>
  </si>
  <si>
    <t xml:space="preserve">Faqat QAYTISH yoʻli tezlashtiriladi. Borish yoʻli va jangning oʻzi hech qachon tezlashtirilmaydi - natija allaqachon hal boʻlgan boʻlsa balansga taʼsir qilmaydi.</t>
  </si>
  <si>
    <t xml:space="preserve">Qaytish vaqti (daq)</t>
  </si>
  <si>
    <t xml:space="preserve">Qaytish vaqti (soat)</t>
  </si>
  <si>
    <t xml:space="preserve">Tezlashtirish narxi (oy toshi)</t>
  </si>
  <si>
    <t xml:space="preserve">Kunlik chegaraga hissa</t>
  </si>
  <si>
    <t xml:space="preserve">Narx = yuqoriga yaxlitlangan(0.60 × Σ blok narxlari), bloklar soni = yuqoriga yaxlitlangan(qaytish soati). Bloklar progressiv jadvaldan (10, 16, 26, ...).</t>
  </si>
  <si>
    <t xml:space="preserve">Qayerda ishlaydi</t>
  </si>
  <si>
    <t xml:space="preserve">PvP hujumidan qaytish, lagerdan qaytish, oazisdan qaytish</t>
  </si>
  <si>
    <t xml:space="preserve">Qayerda ishlamaydi</t>
  </si>
  <si>
    <t xml:space="preserve">Borish yoʻli, jangning oʻzi, 12 soatlik klan urushi</t>
  </si>
  <si>
    <t xml:space="preserve">Hujum ostida</t>
  </si>
  <si>
    <t xml:space="preserve">Iningizga hujum kelayotgan boʻlsa tugma oʻchadi</t>
  </si>
  <si>
    <t xml:space="preserve">Qaytish tezlashtirishi ham 25% kunlik chegaraga kiradi</t>
  </si>
  <si>
    <t xml:space="preserve">Bir yurishga bir marta</t>
  </si>
  <si>
    <t xml:space="preserve">Bitta yurishni faqat bir marta tezlashtirish mumkin</t>
  </si>
  <si>
    <t xml:space="preserve">Bepul variant</t>
  </si>
  <si>
    <t xml:space="preserve">Vazifa mukofoti sifatida berilgan tezlashtirishlar ham shu yerda ishlaydi</t>
  </si>
  <si>
    <t xml:space="preserve">Nega xavfsiz</t>
  </si>
  <si>
    <t xml:space="preserve">Jang natijasi oʻzgarmaydi, oʻlja oʻzgarmaydi - faqat qoʻshin uyga tezroq qaytadi</t>
  </si>
  <si>
    <t xml:space="preserve">Qanday cheklangan</t>
  </si>
  <si>
    <t xml:space="preserve">Kunlik chegara reyd chastotasini baribir ushlab turadi - cheksiz hujum boʻlmaydi</t>
  </si>
  <si>
    <t xml:space="preserve">8. HIMOYA - nima sotiladi, nima yoʻq</t>
  </si>
  <si>
    <t xml:space="preserve">Variant</t>
  </si>
  <si>
    <t xml:space="preserve">Sotiladimi</t>
  </si>
  <si>
    <t xml:space="preserve">Jangovar qalqon (hujumni bloklash)</t>
  </si>
  <si>
    <t xml:space="preserve">YOʻQ</t>
  </si>
  <si>
    <t xml:space="preserve">Toʻlovchilar daxlsiz boʻlib qoladi, hujum qilishga hech kim qolmaydi - PvP oʻladi</t>
  </si>
  <si>
    <t xml:space="preserve">Himoya stat bonusi</t>
  </si>
  <si>
    <t xml:space="preserve">Bu toʻgʻridan-toʻgʻri kuch sotish</t>
  </si>
  <si>
    <t xml:space="preserve">Oʻlja koeffitsientini kamaytirish</t>
  </si>
  <si>
    <t xml:space="preserve">Pullik oʻyinchini talash foydasiz boʻlib qoladi</t>
  </si>
  <si>
    <t xml:space="preserve">Taʼtil rejimi (toʻliq pauza)</t>
  </si>
  <si>
    <t xml:space="preserve">HA</t>
  </si>
  <si>
    <t xml:space="preserve">Oʻyindan butunlay chiqadi - resurs ham, mukofot ham yigʻmaydi</t>
  </si>
  <si>
    <t xml:space="preserve">Qalqon vaqtini uzaytirish</t>
  </si>
  <si>
    <t xml:space="preserve">Hujumdan keyingi 8 soatlik qalqon faqat oʻyin qoidasi</t>
  </si>
  <si>
    <t xml:space="preserve">Qoʻshimcha himoyachi slot</t>
  </si>
  <si>
    <t xml:space="preserve">Qoʻshin sigʻimi - kuch chegarasi</t>
  </si>
  <si>
    <t xml:space="preserve">9. TAʼTIL REJIMI - yagona sotiladigan himoya</t>
  </si>
  <si>
    <t xml:space="preserve">Qiymat</t>
  </si>
  <si>
    <t xml:space="preserve">Yoqilish kechikishi</t>
  </si>
  <si>
    <t xml:space="preserve">Soat. Yoqqandan 12 soat oʻtib ishga tushadi - kelayotgan hujumdan qochib boʻlmaydi</t>
  </si>
  <si>
    <t xml:space="preserve">Minimal muddat</t>
  </si>
  <si>
    <t xml:space="preserve">Soat. Qisqa muddatli qochish uchun ishlatib boʻlmaydi</t>
  </si>
  <si>
    <t xml:space="preserve">Maksimal muddat</t>
  </si>
  <si>
    <t xml:space="preserve">Soat (7 kun)</t>
  </si>
  <si>
    <t xml:space="preserve">Bepul muddat</t>
  </si>
  <si>
    <t xml:space="preserve">Soat/oy. Oyiga bir marta bepul - haqiqiy taʼtilga chiqqan odam pul toʻlamasin</t>
  </si>
  <si>
    <t xml:space="preserve">Qoʻshimcha narx</t>
  </si>
  <si>
    <t xml:space="preserve">Oy toshi/kun, bepul muddatdan keyin</t>
  </si>
  <si>
    <t xml:space="preserve">TAʼTIL REJIMIDA NIMA TOʻXTAYDI</t>
  </si>
  <si>
    <t xml:space="preserve">Hujum qilib boʻlmaydi</t>
  </si>
  <si>
    <t xml:space="preserve">Sizga hech kim hujum qilolmaydi, siz ham hech kimga</t>
  </si>
  <si>
    <t xml:space="preserve">Ishlab chiqarish toʻxtaydi</t>
  </si>
  <si>
    <t xml:space="preserve">Ustaxona, lager, oazis - hammasi 0. Bu eng muhim shart</t>
  </si>
  <si>
    <t xml:space="preserve">Oziqlanish toʻxtaydi</t>
  </si>
  <si>
    <t xml:space="preserve">Qoʻshin goʻsht yemaydi, ochlik boshlanmaydi</t>
  </si>
  <si>
    <t xml:space="preserve">Mukofot yigʻilmaydi</t>
  </si>
  <si>
    <t xml:space="preserve">Mavsum ballari, vazifalar, klan hissasi - hech biri hisoblanmaydi</t>
  </si>
  <si>
    <t xml:space="preserve">Qurilish va mashq toʻxtaydi</t>
  </si>
  <si>
    <t xml:space="preserve">Navbatlar muzlatiladi, chiqqanda oʻsha joydan davom etadi</t>
  </si>
  <si>
    <t xml:space="preserve">Klan urushi</t>
  </si>
  <si>
    <t xml:space="preserve">Urush davomida yoqib boʻlmaydi; urush eʼlon qilinsa taʼtil buzilmaydi, lekin ishtirok etmaysiz</t>
  </si>
  <si>
    <t xml:space="preserve">Darhol buziladi</t>
  </si>
  <si>
    <t xml:space="preserve">Hujum qilsangiz, razvedka yuborsangiz yoki lager yuborsangiz - taʼtil darhol tugaydi</t>
  </si>
  <si>
    <t xml:space="preserve">Chiqish</t>
  </si>
  <si>
    <t xml:space="preserve">Muddat tugagach 30 daqiqalik qalqon bilan chiqasiz</t>
  </si>
  <si>
    <t xml:space="preserve">Nega bu xavfsiz: taʼtil rejimi himoya emas, PAUZA. Oʻyinchi hech narsa yutmaydi - faqat yoʻqotmaydi.</t>
  </si>
  <si>
    <t xml:space="preserve">12 soatlik kechikish eng muhim shart: kelayotgan hujumni koʻrib taʼtilga qochib boʻlmaydi.</t>
  </si>
  <si>
    <t xml:space="preserve">Bepul 48 soat/oy: haqiqiy sababi bor odam (safar, imtihon, kasallik) pul toʻlamasligi kerak. Pul faqat uzoq muddat uchun.</t>
  </si>
  <si>
    <t xml:space="preserve">Hujumdan keyingi 8 soatlik qalqon va 1-6 daraja qalqoni avvalgidek BEPUL va oʻyin qoidasi boʻlib qoladi.</t>
  </si>
  <si>
    <t xml:space="preserve">Ochilish jadvali — qaysi darajada nima ochiladi</t>
  </si>
  <si>
    <t xml:space="preserve">1–3 daraja yolgʻiz bosqich. 4-darajada toʻda, botlarga hujum va ov guruhi ochiladi; haqiqiy PvP — 7-darajadan. (v2) — MVP dan keyin, (v3) — dizayni hali yozilmagan.</t>
  </si>
  <si>
    <t xml:space="preserve">Modul</t>
  </si>
  <si>
    <t xml:space="preserve">Ov</t>
  </si>
  <si>
    <t xml:space="preserve">Yolgʻiz ov (alfa): kemiruvchi, qush</t>
  </si>
  <si>
    <t xml:space="preserve">Boshlangʻich oʻrgatish, 2–3 daqiqa</t>
  </si>
  <si>
    <t xml:space="preserve">Iqtisod</t>
  </si>
  <si>
    <t xml:space="preserve">In — oʻyinchi darajasi bilan avtomatik</t>
  </si>
  <si>
    <t xml:space="preserve">Oʻyin bazasi</t>
  </si>
  <si>
    <t xml:space="preserve">Resurs sikli boshlanadi</t>
  </si>
  <si>
    <t xml:space="preserve">Toʻda ovi tayyorgarligi</t>
  </si>
  <si>
    <t xml:space="preserve">Toʻda</t>
  </si>
  <si>
    <t xml:space="preserve">🔓 Toʻda (qoʻshin 10), toʻda ovi, ov guruhi (2–4 oʻyinchi)</t>
  </si>
  <si>
    <t xml:space="preserve">Asosiy mexanika ochiladi</t>
  </si>
  <si>
    <t xml:space="preserve">PvP</t>
  </si>
  <si>
    <t xml:space="preserve">🔓 Jang maydoni, Razvedka qoyasi, Himoya devori · yovvoyi toʻdalar (bot)</t>
  </si>
  <si>
    <t xml:space="preserve">Xavfsiz birinchi jang tajribasi</t>
  </si>
  <si>
    <t xml:space="preserve">Klan</t>
  </si>
  <si>
    <t xml:space="preserve">Klan yaratish yoki qoʻshilish (v2) · lager (v2)</t>
  </si>
  <si>
    <t xml:space="preserve">Ijtimoiy yadro</t>
  </si>
  <si>
    <t xml:space="preserve">Yirik oʻlja (jayron) — kamida 2 boʻri</t>
  </si>
  <si>
    <t xml:space="preserve">Toʻdasiz oʻtib boʻlmaydi</t>
  </si>
  <si>
    <t xml:space="preserve">Jarohatlarni davolash</t>
  </si>
  <si>
    <t xml:space="preserve">Birinchi raqobat tajribasi</t>
  </si>
  <si>
    <t xml:space="preserve">Rejalashtirilgan sessiya</t>
  </si>
  <si>
    <t xml:space="preserve">Resurs nomutanosibligini hal qiladi</t>
  </si>
  <si>
    <t xml:space="preserve">Parallel qurilish</t>
  </si>
  <si>
    <t xml:space="preserve">Birgalikda ov</t>
  </si>
  <si>
    <t xml:space="preserve">Iqtisodiy boshqaruv</t>
  </si>
  <si>
    <t xml:space="preserve">Mudofaa taraf</t>
  </si>
  <si>
    <t xml:space="preserve">Doimiy takrorlanuvchi voqea</t>
  </si>
  <si>
    <t xml:space="preserve">Taktika: qurshab olish, chekinish, tuzoq (v3)</t>
  </si>
  <si>
    <t xml:space="preserve">Chuqurroq jang tanlovi</t>
  </si>
  <si>
    <t xml:space="preserve">Yirik format</t>
  </si>
  <si>
    <t xml:space="preserve">Meta-qatlam</t>
  </si>
  <si>
    <t xml:space="preserve">Yuqori stavka</t>
  </si>
  <si>
    <t xml:space="preserve">Alfa unvoni va server reytingi (v2)</t>
  </si>
  <si>
    <t xml:space="preserve">Prestij</t>
  </si>
  <si>
    <t xml:space="preserve">Mifologik bosqich iqtisodi</t>
  </si>
  <si>
    <t xml:space="preserve">Mifologik bosqich darvozasi</t>
  </si>
  <si>
    <t xml:space="preserve">Vaqtga bogʻliq mexanika (kuch emas)</t>
  </si>
  <si>
    <t xml:space="preserve">Koordinatsiya sinovi</t>
  </si>
  <si>
    <t xml:space="preserve">Yakuniy qobiliyat (kuch emas)</t>
  </si>
  <si>
    <t xml:space="preserve">Koʻk Boʻri unvoni · klanga +10% ishlab chiqarish</t>
  </si>
  <si>
    <t xml:space="preserve">Server yetakchisi (kuch emas)</t>
  </si>
  <si>
    <t xml:space="preserve">Modul ranglari: koʻk — ov · jigarrang — iqtisod · yashil — toʻda · binafsha — klan · qizil — PvP.</t>
  </si>
  <si>
    <t xml:space="preserve">4-daraja oʻyinning eng muhim nuqtasi: oʻyinchi bu yerda yolgʻiz oʻyindan toʻda oʻyiniga oʻtadi. Tanishtiruv shu darajagacha ~10 daqiqa (jami 15 daqiqa) davom etadi.</t>
  </si>
  <si>
    <t xml:space="preserve">5-darajadan boshlab yirik oʻlja faqat toʻda bilan ovlanadi — toʻdasiz oʻyinchi oldinga siljiy olmaydi.</t>
  </si>
  <si>
    <t xml:space="preserve">Blue Wolf — balans sozlamalari</t>
  </si>
  <si>
    <t xml:space="preserve">Faqat koʻk rangdagi kataklarni oʻzgartiring. Har bir parametr nomlangan katak (masalan xp_base) — boshqa varaqlar formulalari shu nomlar orqali hisoblanadi. Oʻzgartirgach `python3 tools/blue_wolf_config.py` game_config SQL ni yangilaydi.</t>
  </si>
  <si>
    <t xml:space="preserve">XP tizimi</t>
  </si>
  <si>
    <t xml:space="preserve">Bazaviy XP (1→2 daraja)</t>
  </si>
  <si>
    <t xml:space="preserve">Boshlangʻich daraja narxi</t>
  </si>
  <si>
    <t xml:space="preserve">XP oʻsish koeffitsienti</t>
  </si>
  <si>
    <t xml:space="preserve">x</t>
  </si>
  <si>
    <t xml:space="preserve">Har daraja oldingisidan shuncha qimmat</t>
  </si>
  <si>
    <t xml:space="preserve">Statistika bazasi</t>
  </si>
  <si>
    <t xml:space="preserve">Bazaviy kuch</t>
  </si>
  <si>
    <t xml:space="preserve">ball</t>
  </si>
  <si>
    <t xml:space="preserve">1-daraja kuchi</t>
  </si>
  <si>
    <t xml:space="preserve">Kuch oʻsishi</t>
  </si>
  <si>
    <t xml:space="preserve">Har darajada</t>
  </si>
  <si>
    <t xml:space="preserve">Bazaviy tezlik</t>
  </si>
  <si>
    <t xml:space="preserve">1-daraja tezligi</t>
  </si>
  <si>
    <t xml:space="preserve">Tezlik oʻsishi</t>
  </si>
  <si>
    <t xml:space="preserve">Bazaviy chidam</t>
  </si>
  <si>
    <t xml:space="preserve">HP</t>
  </si>
  <si>
    <t xml:space="preserve">1-daraja jon miqdori</t>
  </si>
  <si>
    <t xml:space="preserve">Chidam oʻsishi</t>
  </si>
  <si>
    <t xml:space="preserve">Toifa koeffitsientlari</t>
  </si>
  <si>
    <t xml:space="preserve">Haqiqiy boʻrilar</t>
  </si>
  <si>
    <t xml:space="preserve">1–19 daraja</t>
  </si>
  <si>
    <t xml:space="preserve">Qadimgi boʻrilar</t>
  </si>
  <si>
    <t xml:space="preserve">20–21 daraja</t>
  </si>
  <si>
    <t xml:space="preserve">Mifologik boʻrilar</t>
  </si>
  <si>
    <t xml:space="preserve">22–25 daraja</t>
  </si>
  <si>
    <t xml:space="preserve">Toʻda va jang</t>
  </si>
  <si>
    <t xml:space="preserve">Toʻda ochilish darajasi</t>
  </si>
  <si>
    <t xml:space="preserve">daraja</t>
  </si>
  <si>
    <t xml:space="preserve">Shu darajadan toʻda, klan va PvP ochiladi</t>
  </si>
  <si>
    <t xml:space="preserve">Bosqich koeffitsientlari</t>
  </si>
  <si>
    <t xml:space="preserve">Erta bosqich koeffitsienti</t>
  </si>
  <si>
    <t xml:space="preserve">1–4 daraja: XP, narx va vaqt shunga koʻpaytiriladi</t>
  </si>
  <si>
    <t xml:space="preserve">Oʻrta bosqich koeffitsienti</t>
  </si>
  <si>
    <t xml:space="preserve">5–10 daraja</t>
  </si>
  <si>
    <t xml:space="preserve">Oʻrta bosqich chegarasi</t>
  </si>
  <si>
    <t xml:space="preserve">Shu darajagacha oʻrta koeffitsient</t>
  </si>
  <si>
    <t xml:space="preserve">Oddiy bosqich koeffitsienti</t>
  </si>
  <si>
    <t xml:space="preserve">11–15 daraja</t>
  </si>
  <si>
    <t xml:space="preserve">Kech bosqich koeffitsienti</t>
  </si>
  <si>
    <t xml:space="preserve">16+ daraja: ataylab qiyinlashadi</t>
  </si>
  <si>
    <t xml:space="preserve">Kech bosqich chegarasi</t>
  </si>
  <si>
    <t xml:space="preserve">Shundan keyin kech bosqich</t>
  </si>
  <si>
    <t xml:space="preserve">Tanishtiruv</t>
  </si>
  <si>
    <t xml:space="preserve">Tanishtiruv tugash darajasi</t>
  </si>
  <si>
    <t xml:space="preserve">Shu darajada qoʻllanma tugaydi</t>
  </si>
  <si>
    <t xml:space="preserve">Tanishtiruv maqsadi (daqiqa)</t>
  </si>
  <si>
    <t xml:space="preserve">daqiqa</t>
  </si>
  <si>
    <t xml:space="preserve">Boshidan tugashigacha</t>
  </si>
  <si>
    <t xml:space="preserve">Bepul tezlashtirish</t>
  </si>
  <si>
    <t xml:space="preserve">marta</t>
  </si>
  <si>
    <t xml:space="preserve">Tanishtiruvda qurilish darhol tugaydi</t>
  </si>
  <si>
    <t xml:space="preserve">Oʻtkazib yuborish qadami</t>
  </si>
  <si>
    <t xml:space="preserve">qadam</t>
  </si>
  <si>
    <t xml:space="preserve">Shundan keyin «Oʻtkazib yuborish» tugmasi chiqadi</t>
  </si>
  <si>
    <t xml:space="preserve">Vazifalar</t>
  </si>
  <si>
    <t xml:space="preserve">Kundalik vazifa soni</t>
  </si>
  <si>
    <t xml:space="preserve">ta</t>
  </si>
  <si>
    <t xml:space="preserve">Har kuni yangilanadi</t>
  </si>
  <si>
    <t xml:space="preserve">Haftalik vazifa soni</t>
  </si>
  <si>
    <t xml:space="preserve">Har dushanba yangilanadi</t>
  </si>
  <si>
    <t xml:space="preserve">Kundalik mukofot chegarasi</t>
  </si>
  <si>
    <t xml:space="preserve">ulush</t>
  </si>
  <si>
    <t xml:space="preserve">Kunlik ishlab chiqarishdan — hammasi qoʻshib</t>
  </si>
  <si>
    <t xml:space="preserve">Haftalik mukofot chegarasi</t>
  </si>
  <si>
    <t xml:space="preserve">Bir kunlik ishlab chiqarishdan</t>
  </si>
  <si>
    <t xml:space="preserve">Bosqichli mukofot chegarasi</t>
  </si>
  <si>
    <t xml:space="preserve">Bir martalik, kunlik ishlab chiqarishdan</t>
  </si>
  <si>
    <t xml:space="preserve">Tezlashtirish mukofoti</t>
  </si>
  <si>
    <t xml:space="preserve">Vazifa uchun beriladigan tezlashtirish</t>
  </si>
  <si>
    <t xml:space="preserve">Xavfsiz chegara</t>
  </si>
  <si>
    <t xml:space="preserve">Barcha vazifa mukofoti kunlik ishlab chiqarishdan oshmasin</t>
  </si>
  <si>
    <t xml:space="preserve">Askar iqtisodi</t>
  </si>
  <si>
    <t xml:space="preserve">Yangi askar: bazaviy goʻsht</t>
  </si>
  <si>
    <t xml:space="preserve">kg</t>
  </si>
  <si>
    <t xml:space="preserve">1-tier askar yigʻish</t>
  </si>
  <si>
    <t xml:space="preserve">Yangi askar: bazaviy suyak</t>
  </si>
  <si>
    <t xml:space="preserve">birlik</t>
  </si>
  <si>
    <t xml:space="preserve">Yangi askar: bazaviy vaqt</t>
  </si>
  <si>
    <t xml:space="preserve">Almashtirish yoʻqotishi</t>
  </si>
  <si>
    <t xml:space="preserve">Kuch konversiyasida yoʻqoladigan ulush</t>
  </si>
  <si>
    <t xml:space="preserve">Almashtirish narx ulushi</t>
  </si>
  <si>
    <t xml:space="preserve">Yangi askar narxiga nisbatan</t>
  </si>
  <si>
    <t xml:space="preserve">Almashtirish vaqt ulushi</t>
  </si>
  <si>
    <t xml:space="preserve">Yangi askar vaqtiga nisbatan</t>
  </si>
  <si>
    <t xml:space="preserve">Normal toʻlganlik</t>
  </si>
  <si>
    <t xml:space="preserve">Shu nuqtada vaqt koeffitsienti 1.00</t>
  </si>
  <si>
    <t xml:space="preserve">Toʻlganlik eksponenti</t>
  </si>
  <si>
    <t xml:space="preserve">Qanchalik keskin oʻzgarishi</t>
  </si>
  <si>
    <t xml:space="preserve">Minimal vaqt koeffitsienti</t>
  </si>
  <si>
    <t xml:space="preserve">Qoʻshin juda kam boʻlganda chegirma</t>
  </si>
  <si>
    <t xml:space="preserve">Yakuniy koeff. chegarasi</t>
  </si>
  <si>
    <t xml:space="preserve">Bino jazosi bilan birga eng koʻpi</t>
  </si>
  <si>
    <t xml:space="preserve">Oflayn hisob</t>
  </si>
  <si>
    <t xml:space="preserve">Oflayn ombor kengaytmasi</t>
  </si>
  <si>
    <t xml:space="preserve">Oʻyinchi yoʻqligida ombor sigʻimi shuncha oshadi</t>
  </si>
  <si>
    <t xml:space="preserve">Oflayn ishlab chiqarish</t>
  </si>
  <si>
    <t xml:space="preserve">Oflaynda ishlab chiqarish shuncha qismda ishlaydi</t>
  </si>
  <si>
    <t xml:space="preserve">Ochlik CP jazosi</t>
  </si>
  <si>
    <t xml:space="preserve">Ochlikda jangovar quvvat shuncha tushadi</t>
  </si>
  <si>
    <t xml:space="preserve">Ochlik ishlab chiqarish jazosi</t>
  </si>
  <si>
    <t xml:space="preserve">Ochlikda ishlab chiqarish shuncha tushadi</t>
  </si>
  <si>
    <t xml:space="preserve">Ochlikda ketish boshlanishi</t>
  </si>
  <si>
    <t xml:space="preserve">kun</t>
  </si>
  <si>
    <t xml:space="preserve">Shundan keyin askarlar asta ketadi</t>
  </si>
  <si>
    <t xml:space="preserve">Kunlik ketish ulushi</t>
  </si>
  <si>
    <t xml:space="preserve">Har kuni shuncha askar ketadi</t>
  </si>
  <si>
    <t xml:space="preserve">Maksimal ochlik yoʻqotishi</t>
  </si>
  <si>
    <t xml:space="preserve">Ochlikdan koʻpi bilan shuncha yoʻqoladi</t>
  </si>
  <si>
    <t xml:space="preserve">soat</t>
  </si>
  <si>
    <t xml:space="preserve">Shundan keyin avtomatik qalqon yoqiladi</t>
  </si>
  <si>
    <t xml:space="preserve">Qaytish grace vaqti</t>
  </si>
  <si>
    <t xml:space="preserve">Kirgandan keyin qalqon shuncha turadi</t>
  </si>
  <si>
    <t xml:space="preserve">Monetizatsiya</t>
  </si>
  <si>
    <t xml:space="preserve">Kunlik tezlashtirish chegarasi</t>
  </si>
  <si>
    <t xml:space="preserve">Kunlik progressning shunchasidan koʻpini sotib boʻlmaydi</t>
  </si>
  <si>
    <t xml:space="preserve">Tezlashtirish bazaviy narxi</t>
  </si>
  <si>
    <t xml:space="preserve">oy toshi/soat</t>
  </si>
  <si>
    <t xml:space="preserve">Birinchi blok narxi</t>
  </si>
  <si>
    <t xml:space="preserve">Tezlashtirish narx oʻsishi</t>
  </si>
  <si>
    <t xml:space="preserve">Har keyingi blok shuncha qimmat</t>
  </si>
  <si>
    <t xml:space="preserve">Blok uzunligi</t>
  </si>
  <si>
    <t xml:space="preserve">Narx bloki</t>
  </si>
  <si>
    <t xml:space="preserve">Oy toshi kursi</t>
  </si>
  <si>
    <t xml:space="preserve">oy toshi/$</t>
  </si>
  <si>
    <t xml:space="preserve">1 dollarga nechta oy toshi</t>
  </si>
  <si>
    <t xml:space="preserve">Mavsum yoʻli narxi</t>
  </si>
  <si>
    <t xml:space="preserve">oy toshi</t>
  </si>
  <si>
    <t xml:space="preserve">Battle pass</t>
  </si>
  <si>
    <t xml:space="preserve">Ikkinchi navbat narxi</t>
  </si>
  <si>
    <t xml:space="preserve">4–9 darajada erta ochish; 10-darajadan bepul</t>
  </si>
  <si>
    <t xml:space="preserve">Qaytish narx koeffitsienti</t>
  </si>
  <si>
    <t xml:space="preserve">Qaytish tezlashtirishi arzonroq</t>
  </si>
  <si>
    <t xml:space="preserve">Qaytish maksimal qisqartirish</t>
  </si>
  <si>
    <t xml:space="preserve">Qaytish vaqtining shunchasini qisqartirish mumkin</t>
  </si>
  <si>
    <t xml:space="preserve">Taʼtil kechikishi</t>
  </si>
  <si>
    <t xml:space="preserve">Yoqilgandan keyin shuncha vaqtdan soʻng ishga tushadi</t>
  </si>
  <si>
    <t xml:space="preserve">Taʼtil minimal muddati</t>
  </si>
  <si>
    <t xml:space="preserve">Undan qisqa boʻlmaydi</t>
  </si>
  <si>
    <t xml:space="preserve">Taʼtil maksimal muddati</t>
  </si>
  <si>
    <t xml:space="preserve">7 kun</t>
  </si>
  <si>
    <t xml:space="preserve">Bepul taʼtil</t>
  </si>
  <si>
    <t xml:space="preserve">soat/oy</t>
  </si>
  <si>
    <t xml:space="preserve">Oyiga bir marta bepul</t>
  </si>
  <si>
    <t xml:space="preserve">Taʼtil narxi</t>
  </si>
  <si>
    <t xml:space="preserve">oy toshi/kun</t>
  </si>
  <si>
    <t xml:space="preserve">Bepul muddatdan keyin</t>
  </si>
  <si>
    <t xml:space="preserve">PvP jang mexanikasi</t>
  </si>
  <si>
    <t xml:space="preserve">Taklif etiladigan raqib</t>
  </si>
  <si>
    <t xml:space="preserve">Server tasodifiy tanlaydi</t>
  </si>
  <si>
    <t xml:space="preserve">Yoki 3 ta hujumdan keyin</t>
  </si>
  <si>
    <t xml:space="preserve">Bazaviy yoʻqotish</t>
  </si>
  <si>
    <t xml:space="preserve">Teng kuchda yoʻqotiladigan askar</t>
  </si>
  <si>
    <t xml:space="preserve">Maksimal yoʻqotish</t>
  </si>
  <si>
    <t xml:space="preserve">Bir jangda eng koʻp yoʻqotish</t>
  </si>
  <si>
    <t xml:space="preserve">Jang raundlari</t>
  </si>
  <si>
    <t xml:space="preserve">raund</t>
  </si>
  <si>
    <t xml:space="preserve">Har raundda ikki tomon zarba beradi</t>
  </si>
  <si>
    <t xml:space="preserve">Tasodif oraligʻi</t>
  </si>
  <si>
    <t xml:space="preserve">Zarar ±shuncha tebranadi</t>
  </si>
  <si>
    <t xml:space="preserve">Hujumchi oʻlim ulushi</t>
  </si>
  <si>
    <t xml:space="preserve">Yoʻqotilganlarning shunchasi oʻladi</t>
  </si>
  <si>
    <t xml:space="preserve">Himoyachi oʻlim ulushi</t>
  </si>
  <si>
    <t xml:space="preserve">Uyda — Shifo gʻori yaqin</t>
  </si>
  <si>
    <t xml:space="preserve">Yurish tezligi</t>
  </si>
  <si>
    <t xml:space="preserve">km/soat</t>
  </si>
  <si>
    <t xml:space="preserve">Eng sekin askar tezligi</t>
  </si>
  <si>
    <t xml:space="preserve">Razvedka tezligi</t>
  </si>
  <si>
    <t xml:space="preserve">Razvedkachi 3 barobar tez</t>
  </si>
  <si>
    <t xml:space="preserve">Toʻda jangi</t>
  </si>
  <si>
    <t xml:space="preserve">Toʻda jangi davomiyligi</t>
  </si>
  <si>
    <t xml:space="preserve">Ochilgandan yopilgunicha</t>
  </si>
  <si>
    <t xml:space="preserve">Klan kuch oynasi</t>
  </si>
  <si>
    <t xml:space="preserve">Faqat ±shuncha kuchdagi klanlar taklif etiladi</t>
  </si>
  <si>
    <t xml:space="preserve">Klan kuchining shunchasi yuborilishi shart</t>
  </si>
  <si>
    <t xml:space="preserve">Minimal aʼzo ishtiroki</t>
  </si>
  <si>
    <t xml:space="preserve">Aʼzolarning shunchasi qatnashishi shart</t>
  </si>
  <si>
    <t xml:space="preserve">Takroriy urush bloki</t>
  </si>
  <si>
    <t xml:space="preserve">Bir juftlik shu muddat ichida qayta urusholmaydi</t>
  </si>
  <si>
    <t xml:space="preserve">Urush garovi</t>
  </si>
  <si>
    <t xml:space="preserve">Klan xazinasidan garovga qoʻyiladi</t>
  </si>
  <si>
    <t xml:space="preserve">Gʻolib yoʻqotishi</t>
  </si>
  <si>
    <t xml:space="preserve">Yuborilgan askarlardan</t>
  </si>
  <si>
    <t xml:space="preserve">Magʻlub yoʻqotishi</t>
  </si>
  <si>
    <t xml:space="preserve">Urush oʻlim ulushi (gʻolib)</t>
  </si>
  <si>
    <t xml:space="preserve">Yoʻqotilganlardan oʻladigan qismi</t>
  </si>
  <si>
    <t xml:space="preserve">Urush oʻlim ulushi (magʻlub)</t>
  </si>
  <si>
    <t xml:space="preserve">Aʼzo mukofot shifti</t>
  </si>
  <si>
    <t xml:space="preserve">Bitta aʼzo urush fondidan koʻpi bilan</t>
  </si>
  <si>
    <t xml:space="preserve">Magʻlub ishtirok mukofoti</t>
  </si>
  <si>
    <t xml:space="preserve">Gʻolib mukofotiga nisbatan</t>
  </si>
  <si>
    <t xml:space="preserve">Klan XP bazasi</t>
  </si>
  <si>
    <t xml:space="preserve">1-darajadan keyingi daraja uchun</t>
  </si>
  <si>
    <t xml:space="preserve">Klan XP oʻsishi</t>
  </si>
  <si>
    <t xml:space="preserve">Kerakli klan XP = baza × shu^(daraja−1)</t>
  </si>
  <si>
    <t xml:space="preserve">Yolgʻiz bosqich toʻdasi</t>
  </si>
  <si>
    <t xml:space="preserve">bosh</t>
  </si>
  <si>
    <t xml:space="preserve">1–3 daraja: oʻyinchi yolgʻiz</t>
  </si>
  <si>
    <t xml:space="preserve">Bazaviy toʻda hajmi</t>
  </si>
  <si>
    <t xml:space="preserve">askar</t>
  </si>
  <si>
    <t xml:space="preserve">Toʻda ochilgan darajada (4-daraja)</t>
  </si>
  <si>
    <t xml:space="preserve">Toʻda oʻsish koeffitsienti</t>
  </si>
  <si>
    <t xml:space="preserve">Har darajada koʻpaytiriladi</t>
  </si>
  <si>
    <t xml:space="preserve">CP: kuch vazni</t>
  </si>
  <si>
    <t xml:space="preserve">Jangovar quvvat formulasida</t>
  </si>
  <si>
    <t xml:space="preserve">CP: tezlik vazni</t>
  </si>
  <si>
    <t xml:space="preserve">CP: chidam vazni</t>
  </si>
  <si>
    <t xml:space="preserve">Bazaviy kunlik ehtiyoj</t>
  </si>
  <si>
    <t xml:space="preserve">kg/askar</t>
  </si>
  <si>
    <t xml:space="preserve">1-darajali askar bir kunda</t>
  </si>
  <si>
    <t xml:space="preserve">Ehtiyoj oʻsishi</t>
  </si>
  <si>
    <t xml:space="preserve">kg/daraja</t>
  </si>
  <si>
    <t xml:space="preserve">Har darajada qoʻshiladi</t>
  </si>
  <si>
    <t xml:space="preserve">Bazaviy suv ehtiyoji</t>
  </si>
  <si>
    <t xml:space="preserve">birlik/askar</t>
  </si>
  <si>
    <t xml:space="preserve">1-darajada</t>
  </si>
  <si>
    <t xml:space="preserve">Suv oʻsishi</t>
  </si>
  <si>
    <t xml:space="preserve">birlik/daraja</t>
  </si>
  <si>
    <t xml:space="preserve">Oy nuri ehtiyoji</t>
  </si>
  <si>
    <t xml:space="preserve">birlik/boʻri</t>
  </si>
  <si>
    <t xml:space="preserve">Faqat 20+ daraja</t>
  </si>
  <si>
    <t xml:space="preserve">Zaxira kuni</t>
  </si>
  <si>
    <t xml:space="preserve">Ombor shuncha kunlik oziqni sigʻdirishi kerak</t>
  </si>
  <si>
    <t xml:space="preserve">Gʻor bazaviy sigʻimi</t>
  </si>
  <si>
    <t xml:space="preserve">1-daraja</t>
  </si>
  <si>
    <t xml:space="preserve">Gʻor sigʻim oʻsishi</t>
  </si>
  <si>
    <t xml:space="preserve">Har darajada — qoʻshin oʻsishiga moslangan</t>
  </si>
  <si>
    <t xml:space="preserve">Bazaviy passiv suv</t>
  </si>
  <si>
    <t xml:space="preserve">birlik/soat</t>
  </si>
  <si>
    <t xml:space="preserve">Gʻor oʻzi yigʻadi</t>
  </si>
  <si>
    <t xml:space="preserve">Passiv suv oʻsishi</t>
  </si>
  <si>
    <t xml:space="preserve">Har darajada — suv ehtiyojiga moslangan (~2×)</t>
  </si>
  <si>
    <t xml:space="preserve">Bazaviy himoya</t>
  </si>
  <si>
    <t xml:space="preserve">Reyddan saqlanadigan zaxira</t>
  </si>
  <si>
    <t xml:space="preserve">Himoya oʻsishi</t>
  </si>
  <si>
    <t xml:space="preserve">ulush/daraja</t>
  </si>
  <si>
    <t xml:space="preserve">Gʻor narxi: tosh</t>
  </si>
  <si>
    <t xml:space="preserve">1→2 daraja uchun</t>
  </si>
  <si>
    <t xml:space="preserve">Gʻor narxi: shox-shabba</t>
  </si>
  <si>
    <t xml:space="preserve">Ustaxona qoyasi</t>
  </si>
  <si>
    <t xml:space="preserve">Bazaviy ishlab chiqarish</t>
  </si>
  <si>
    <t xml:space="preserve">Jami qurilish resursi</t>
  </si>
  <si>
    <t xml:space="preserve">Ishlab chiqarish oʻsishi</t>
  </si>
  <si>
    <t xml:space="preserve">Har darajada — narx oʻsishidan (1.30) past boʻlishi shart</t>
  </si>
  <si>
    <t xml:space="preserve">Ustaxona buferi</t>
  </si>
  <si>
    <t xml:space="preserve">Bufer = soatlik ishlab chiqarish × shu; qurilish resurslari ombori cheklanmagan</t>
  </si>
  <si>
    <t xml:space="preserve">Ustaxona narxi: tosh</t>
  </si>
  <si>
    <t xml:space="preserve">Ustaxona narxi: shox-shabba</t>
  </si>
  <si>
    <t xml:space="preserve">Ustaxona narxi: suyak</t>
  </si>
  <si>
    <t xml:space="preserve">Binolar — umumiy</t>
  </si>
  <si>
    <t xml:space="preserve">Bino narx oʻsishi</t>
  </si>
  <si>
    <t xml:space="preserve">Har darajada (25 daraja uchun moslangan)</t>
  </si>
  <si>
    <t xml:space="preserve">Bino vaqt oʻsishi</t>
  </si>
  <si>
    <t xml:space="preserve">Bazaviy qurilish vaqti</t>
  </si>
  <si>
    <t xml:space="preserve">Kuchaytirish rejasi</t>
  </si>
  <si>
    <t xml:space="preserve">Keyingi darajaga resurs toʻplash muddati</t>
  </si>
  <si>
    <t xml:space="preserve">Rollar va tierlar</t>
  </si>
  <si>
    <t xml:space="preserve">Alfa bonusi</t>
  </si>
  <si>
    <t xml:space="preserve">Askar statiga qoʻshiladi (25-darajada +75%)</t>
  </si>
  <si>
    <t xml:space="preserve">Tier koeffitsienti</t>
  </si>
  <si>
    <t xml:space="preserve">Har tierda stat shuncha oshadi</t>
  </si>
  <si>
    <t xml:space="preserve">Tier ochilish qadami</t>
  </si>
  <si>
    <t xml:space="preserve">Maks tier = MAX(1, MIN(6, alfa darajasi ÷ shu, bino ÷ shu))</t>
  </si>
  <si>
    <t xml:space="preserve">Qarshi-kuch bonusi</t>
  </si>
  <si>
    <t xml:space="preserve">Uchburchakda ustunlik</t>
  </si>
  <si>
    <t xml:space="preserve">Quyidagi CP jadvali shu darajaga hisoblangan</t>
  </si>
  <si>
    <t xml:space="preserve">Taqsimot: razvedkachi</t>
  </si>
  <si>
    <t xml:space="preserve">Tavsiya etilgan slot ulushi</t>
  </si>
  <si>
    <t xml:space="preserve">Taqsimot: hujumchi</t>
  </si>
  <si>
    <t xml:space="preserve">Taqsimot: himoyachi</t>
  </si>
  <si>
    <t xml:space="preserve">Taqsimot: ovchi</t>
  </si>
  <si>
    <t xml:space="preserve">Eng kamida 1 ta ovchi doim boʻladi</t>
  </si>
  <si>
    <t xml:space="preserve">Mashq maydoni</t>
  </si>
  <si>
    <t xml:space="preserve">Tier qadami (bino)</t>
  </si>
  <si>
    <t xml:space="preserve">Har 4 daraja = 1 tier ochiladi</t>
  </si>
  <si>
    <t xml:space="preserve">Bino cheklovi</t>
  </si>
  <si>
    <t xml:space="preserve">Bino alfa darajasidan oshmaydi — maks daraja = oʻyinchi darajasi</t>
  </si>
  <si>
    <t xml:space="preserve">Maydon narxi: tosh</t>
  </si>
  <si>
    <t xml:space="preserve">1→2 daraja</t>
  </si>
  <si>
    <t xml:space="preserve">Maydon narxi: suyak</t>
  </si>
  <si>
    <t xml:space="preserve">Maydon narxi: teri</t>
  </si>
  <si>
    <t xml:space="preserve">Mashq tezligi bonusi</t>
  </si>
  <si>
    <t xml:space="preserve">Mashq vaqtini qisqartiradi</t>
  </si>
  <si>
    <t xml:space="preserve">Bino narxi: Razvedka qoyasi</t>
  </si>
  <si>
    <t xml:space="preserve">Bazaviy maydon narxiga nisbatan</t>
  </si>
  <si>
    <t xml:space="preserve">Bino narxi: Jang maydoni</t>
  </si>
  <si>
    <t xml:space="preserve">Eng qimmat — hujumchi asosiy rol</t>
  </si>
  <si>
    <t xml:space="preserve">Bino narxi: Himoya devori</t>
  </si>
  <si>
    <t xml:space="preserve">Bino narxi: Ov soʻqmogʻi</t>
  </si>
  <si>
    <t xml:space="preserve">Eng arzon — boshidan kerak boʻladi</t>
  </si>
  <si>
    <t xml:space="preserve">Lager va oazis</t>
  </si>
  <si>
    <t xml:space="preserve">Lager yigʻim koeffitsienti</t>
  </si>
  <si>
    <t xml:space="preserve">Bir boʻri = Ustaxona soatlik ishlab chiqarishining shuncha qismi</t>
  </si>
  <si>
    <t xml:space="preserve">Lager tier bonusi</t>
  </si>
  <si>
    <t xml:space="preserve">ulush/tier</t>
  </si>
  <si>
    <t xml:space="preserve">Yuqori tier tezroq yigʻadi</t>
  </si>
  <si>
    <t xml:space="preserve">Lager muddati</t>
  </si>
  <si>
    <t xml:space="preserve">Shundan keyin toʻda inga qaytadi</t>
  </si>
  <si>
    <t xml:space="preserve">Lagerga yuborish ulushi</t>
  </si>
  <si>
    <t xml:space="preserve">Toʻdaning eng koʻpi shuncha qismi</t>
  </si>
  <si>
    <t xml:space="preserve">Oazis soni (server)</t>
  </si>
  <si>
    <t xml:space="preserve">Cheklangan — shuning uchun urush sababi</t>
  </si>
  <si>
    <t xml:space="preserve">Oazis bonusi</t>
  </si>
  <si>
    <t xml:space="preserve">Suv oazisi; boshqa oazislar bonusi oazis jadvalida</t>
  </si>
  <si>
    <t xml:space="preserve">Oazis ushlab turish</t>
  </si>
  <si>
    <t xml:space="preserve">Egallangandan keyin hujum qilib boʻlmaydi</t>
  </si>
  <si>
    <t xml:space="preserve">Bino askar sigʻimi</t>
  </si>
  <si>
    <t xml:space="preserve">Bazaviy askar sigʻimi</t>
  </si>
  <si>
    <t xml:space="preserve">Bino 1-darajada nechta askar sigʻadi</t>
  </si>
  <si>
    <t xml:space="preserve">Sigʻim oʻsish koeffitsienti</t>
  </si>
  <si>
    <t xml:space="preserve">Har bino darajasida koʻpaytiriladi</t>
  </si>
  <si>
    <t xml:space="preserve">Ortiqcha jazo darajasi</t>
  </si>
  <si>
    <t xml:space="preserve">Vaqt koeffitsienti = toʻlganlik ^ shu</t>
  </si>
  <si>
    <t xml:space="preserve">Maksimal jazo</t>
  </si>
  <si>
    <t xml:space="preserve">Mashq vaqti shundan koʻp choʻzilmaydi</t>
  </si>
  <si>
    <t xml:space="preserve">Qurilish vaqti koeffitsientlari</t>
  </si>
  <si>
    <t xml:space="preserve">Vaqt: Oziq gʻori</t>
  </si>
  <si>
    <t xml:space="preserve">Bazaviy qurilish vaqtiga nisbatan</t>
  </si>
  <si>
    <t xml:space="preserve">Vaqt: Ustaxona qoyasi</t>
  </si>
  <si>
    <t xml:space="preserve">Asosiy iqtisod binosi — sekinroq</t>
  </si>
  <si>
    <t xml:space="preserve">Vaqt: Razvedka qoyasi</t>
  </si>
  <si>
    <t xml:space="preserve">Vaqt: Jang maydoni</t>
  </si>
  <si>
    <t xml:space="preserve">Vaqt: Himoya devori</t>
  </si>
  <si>
    <t xml:space="preserve">Vaqt: Ov soʻqmogʻi</t>
  </si>
  <si>
    <t xml:space="preserve">Vaqt: Shifo gʻori</t>
  </si>
  <si>
    <t xml:space="preserve">Vaqt: Bozor</t>
  </si>
  <si>
    <t xml:space="preserve">Shifo gʻori</t>
  </si>
  <si>
    <t xml:space="preserve">Shifo bazaviy sigʻimi</t>
  </si>
  <si>
    <t xml:space="preserve">boʻri</t>
  </si>
  <si>
    <t xml:space="preserve">Bir vaqtda nechta jarohatlangan boʻri davolanadi</t>
  </si>
  <si>
    <t xml:space="preserve">Shifo sigʻim oʻsishi</t>
  </si>
  <si>
    <t xml:space="preserve">boʻri/daraja</t>
  </si>
  <si>
    <t xml:space="preserve">Bazaviy davolash vaqti</t>
  </si>
  <si>
    <t xml:space="preserve">Bitta boʻri, 1-darajada</t>
  </si>
  <si>
    <t xml:space="preserve">Davolash tezligi oʻsishi</t>
  </si>
  <si>
    <t xml:space="preserve">Vaqtni qisqartiradi</t>
  </si>
  <si>
    <t xml:space="preserve">Shifo narxi: shox-shabba</t>
  </si>
  <si>
    <t xml:space="preserve">Shifo narxi: teri</t>
  </si>
  <si>
    <t xml:space="preserve">Shifo narxi: tosh</t>
  </si>
  <si>
    <t xml:space="preserve">Bozor</t>
  </si>
  <si>
    <t xml:space="preserve">Bazaviy almashinuv kursi</t>
  </si>
  <si>
    <t xml:space="preserve">1-darajada 3 birlik berib 1 olasiz</t>
  </si>
  <si>
    <t xml:space="preserve">Kurs yaxshilanishi</t>
  </si>
  <si>
    <t xml:space="preserve">x/daraja</t>
  </si>
  <si>
    <t xml:space="preserve">Har darajada kurs yaxshilanadi</t>
  </si>
  <si>
    <t xml:space="preserve">Bazaviy kunlik limit</t>
  </si>
  <si>
    <t xml:space="preserve">Kuniga almashtirish mumkin boʻlgan miqdor</t>
  </si>
  <si>
    <t xml:space="preserve">Limit oʻsishi</t>
  </si>
  <si>
    <t xml:space="preserve">Bazaviy soliq</t>
  </si>
  <si>
    <t xml:space="preserve">Almashinuvdan ushlanadi</t>
  </si>
  <si>
    <t xml:space="preserve">Soliq kamayishi</t>
  </si>
  <si>
    <t xml:space="preserve">Bozor narxi: tosh</t>
  </si>
  <si>
    <t xml:space="preserve">Bozor narxi: shox-shabba</t>
  </si>
  <si>
    <t xml:space="preserve">Mukofot va mavsum</t>
  </si>
  <si>
    <t xml:space="preserve">Faol oʻyinchi soni</t>
  </si>
  <si>
    <t xml:space="preserve">Kunlik ARPU</t>
  </si>
  <si>
    <t xml:space="preserve">$</t>
  </si>
  <si>
    <t xml:space="preserve">Bitta oʻyinchidan kunlik daromad</t>
  </si>
  <si>
    <t xml:space="preserve">Daromadning shuncha qismi sovrin fondiga</t>
  </si>
  <si>
    <t xml:space="preserve">Mavsum davomiyligi</t>
  </si>
  <si>
    <t xml:space="preserve">Reyting shundan keyin nolga tushadi</t>
  </si>
  <si>
    <t xml:space="preserve">Maksimal shaxsiy ulush</t>
  </si>
  <si>
    <t xml:space="preserve">Bitta oʻyinchi fondning shuncha qismidan koʻp ololmaydi</t>
  </si>
  <si>
    <t xml:space="preserve">Minimal haftalik janglar</t>
  </si>
  <si>
    <t xml:space="preserve">Shundan kam jang qilgan mukofot olmaydi</t>
  </si>
  <si>
    <t xml:space="preserve">Yakuniy kunlar bonusi</t>
  </si>
  <si>
    <t xml:space="preserve">Mavsumning oxirgi 3 kunida hissa</t>
  </si>
  <si>
    <t xml:space="preserve">Tanga kursi</t>
  </si>
  <si>
    <t xml:space="preserve">tanga/$</t>
  </si>
  <si>
    <t xml:space="preserve">Oʻyin ichidagi tanga qiymati</t>
  </si>
  <si>
    <t xml:space="preserve">Yangi akkaunt kutishi</t>
  </si>
  <si>
    <t xml:space="preserve">Shundan keyin mukofotga kira oladi</t>
  </si>
  <si>
    <t xml:space="preserve">Adolat nazorati</t>
  </si>
  <si>
    <t xml:space="preserve">jang</t>
  </si>
  <si>
    <t xml:space="preserve">Bir juftlikning mavsumda hisobga olinadigan janglari</t>
  </si>
  <si>
    <t xml:space="preserve">Yopiq guruh chegarasi</t>
  </si>
  <si>
    <t xml:space="preserve">Janglarning shuncha qismi bir guruh ichida boʻlsa — bayroq</t>
  </si>
  <si>
    <t xml:space="preserve">Yopiq guruh hajmi</t>
  </si>
  <si>
    <t xml:space="preserve">oʻyinchi</t>
  </si>
  <si>
    <t xml:space="preserve">Shuncha kishilik guruh tekshiriladi</t>
  </si>
  <si>
    <t xml:space="preserve">Himoyachi inida shuncha kuch turishi shart</t>
  </si>
  <si>
    <t xml:space="preserve">Jang shundan qisqa boʻlsa — hissa 0</t>
  </si>
  <si>
    <t xml:space="preserve">Minimal hujumchi yoʻqotishi</t>
  </si>
  <si>
    <t xml:space="preserve">Hujumchi shuncha askar yoʻqotishi kerak</t>
  </si>
  <si>
    <t xml:space="preserve">Bir tomonlama nisbat</t>
  </si>
  <si>
    <t xml:space="preserve">Zarar nisbati shundan yuqori boʻlsa koeff. tushadi</t>
  </si>
  <si>
    <t xml:space="preserve">Toʻda almashtirish bloki</t>
  </si>
  <si>
    <t xml:space="preserve">Toʻda almashtirgan shu muddat mukofotsiz</t>
  </si>
  <si>
    <t xml:space="preserve">Toʻlov kutish vaqti</t>
  </si>
  <si>
    <t xml:space="preserve">Mavsum tugagach tekshiruv muddati</t>
  </si>
  <si>
    <t xml:space="preserve">Top shuncha profil qoʻlda koʻriladi</t>
  </si>
  <si>
    <t xml:space="preserve">PvP oʻlja</t>
  </si>
  <si>
    <t xml:space="preserve">Bazaviy yuk</t>
  </si>
  <si>
    <t xml:space="preserve">kg/hujumchi</t>
  </si>
  <si>
    <t xml:space="preserve">Bitta hujumchi olib keta oladigan miqdor</t>
  </si>
  <si>
    <t xml:space="preserve">Tier yuk bonusi</t>
  </si>
  <si>
    <t xml:space="preserve">Yuqori tier koʻproq olib ketadi</t>
  </si>
  <si>
    <t xml:space="preserve">Oʻlja chegarasi</t>
  </si>
  <si>
    <t xml:space="preserve">Reyd daromadi kunlik ovdan shuncha oshmasin</t>
  </si>
  <si>
    <t xml:space="preserve">Reyd koeffitsienti</t>
  </si>
  <si>
    <t xml:space="preserve">Himoyalanmagan zaxiradan olinadigan ulush</t>
  </si>
  <si>
    <t xml:space="preserve">Hujum oynasi: past</t>
  </si>
  <si>
    <t xml:space="preserve">Shuncha past darajaga hujum qilish mumkin</t>
  </si>
  <si>
    <t xml:space="preserve">Hujum oynasi: yuqori</t>
  </si>
  <si>
    <t xml:space="preserve">Shuncha yuqori darajaga hujum qilish mumkin</t>
  </si>
  <si>
    <t xml:space="preserve">Qalqon darajasi</t>
  </si>
  <si>
    <t xml:space="preserve">Shu darajagacha umuman hujum qilib boʻlmaydi</t>
  </si>
  <si>
    <t xml:space="preserve">Kengayish kutish vaqti</t>
  </si>
  <si>
    <t xml:space="preserve">Mos raqib topilmasa, oyna shuncha vaqtdan keyin kengayadi</t>
  </si>
  <si>
    <t xml:space="preserve">Maksimal oyna</t>
  </si>
  <si>
    <t xml:space="preserve">Oyna eng koʻpi bilan shuncha kengayadi</t>
  </si>
  <si>
    <t xml:space="preserve">Minimal havza</t>
  </si>
  <si>
    <t xml:space="preserve">Oynada shuncha faol raqib boʻlishi kerak</t>
  </si>
  <si>
    <t xml:space="preserve">Qisman chegara</t>
  </si>
  <si>
    <t xml:space="preserve">Shundan past — razvedka muvaffaqiyatsiz</t>
  </si>
  <si>
    <t xml:space="preserve">Toʻliq chegara</t>
  </si>
  <si>
    <t xml:space="preserve">Askar soni va oʻlja koʻrinadi</t>
  </si>
  <si>
    <t xml:space="preserve">Aniq chegara</t>
  </si>
  <si>
    <t xml:space="preserve">Aniq raqamlar va himoya foizi koʻrinadi</t>
  </si>
  <si>
    <t xml:space="preserve">Razvedka kutish vaqti</t>
  </si>
  <si>
    <t xml:space="preserve">Keyingi razvedkagacha</t>
  </si>
  <si>
    <t xml:space="preserve">Shundan keyin maʼlumot eskiradi</t>
  </si>
  <si>
    <t xml:space="preserve">Muvaffaqiyatsiz jarohat</t>
  </si>
  <si>
    <t xml:space="preserve">Yoʻqotilgan razvedkachilar ulushi</t>
  </si>
  <si>
    <t xml:space="preserve">Oʻlja aniqligi</t>
  </si>
  <si>
    <t xml:space="preserve">Toʻliq bosqichda raqam ±shuncha xato koʻrsatiladi</t>
  </si>
  <si>
    <t xml:space="preserve">Qasos bonusi</t>
  </si>
  <si>
    <t xml:space="preserve">24 soat ichida qaytarilgan hujumga</t>
  </si>
  <si>
    <t xml:space="preserve">XP manbalari</t>
  </si>
  <si>
    <t xml:space="preserve">Ov XP</t>
  </si>
  <si>
    <t xml:space="preserve">xp/kg</t>
  </si>
  <si>
    <t xml:space="preserve">Oʻlja vazni × shu</t>
  </si>
  <si>
    <t xml:space="preserve">Qurilish XP</t>
  </si>
  <si>
    <t xml:space="preserve">xp/birlik</t>
  </si>
  <si>
    <t xml:space="preserve">Sarflangan qurilish resursi × shu</t>
  </si>
  <si>
    <t xml:space="preserve">PvP XP</t>
  </si>
  <si>
    <t xml:space="preserve">xp/EP</t>
  </si>
  <si>
    <t xml:space="preserve">Yetkazilgan EP zarar × shu × natija koeff.</t>
  </si>
  <si>
    <t xml:space="preserve">PvP XP: gʻalaba</t>
  </si>
  <si>
    <t xml:space="preserve">Natija koeffitsienti</t>
  </si>
  <si>
    <t xml:space="preserve">PvP XP: durang</t>
  </si>
  <si>
    <t xml:space="preserve">PvP XP: magʻlubiyat</t>
  </si>
  <si>
    <t xml:space="preserve">Vazifa XP ulushi</t>
  </si>
  <si>
    <t xml:space="preserve">Vazifa mukofot byudjetining shunchasi XP sifatida</t>
  </si>
  <si>
    <t xml:space="preserve">Catch-up maksimal qoʻshimcha</t>
  </si>
  <si>
    <t xml:space="preserve">+50% gacha</t>
  </si>
  <si>
    <t xml:space="preserve">Catch-up koeffitsienti</t>
  </si>
  <si>
    <t xml:space="preserve">(nisbat − chegara) × shu</t>
  </si>
  <si>
    <t xml:space="preserve">Catch-up chegarasi</t>
  </si>
  <si>
    <t xml:space="preserve">Shundan kam orqada qolganga bonus yoʻq</t>
  </si>
  <si>
    <t xml:space="preserve">Catch-up pasayish boshi</t>
  </si>
  <si>
    <t xml:space="preserve">Bonus shu darajadan pasayadi</t>
  </si>
  <si>
    <t xml:space="preserve">Catch-up pasayish oxiri</t>
  </si>
  <si>
    <t xml:space="preserve">Shu darajada bonus 0</t>
  </si>
  <si>
    <t xml:space="preserve">Ovchi ochilish darajasi</t>
  </si>
  <si>
    <t xml:space="preserve">Ov soʻqmogʻi bilan</t>
  </si>
  <si>
    <t xml:space="preserve">Yolgʻiz ov maksimal darajasi</t>
  </si>
  <si>
    <t xml:space="preserve">1–3 darajada alfa oʻzi ovlaydi</t>
  </si>
  <si>
    <t xml:space="preserve">Yolgʻiz ov kutish vaqti</t>
  </si>
  <si>
    <t xml:space="preserve">Bosishlar orasida</t>
  </si>
  <si>
    <t xml:space="preserve">Ov davomiyligi</t>
  </si>
  <si>
    <t xml:space="preserve">Bitta ov yurishi</t>
  </si>
  <si>
    <t xml:space="preserve">Ovchi unumi koeffitsienti</t>
  </si>
  <si>
    <t xml:space="preserve">Ovchi unumi (kg/soat) = shu × bir askarning kunlik ehtiyoji</t>
  </si>
  <si>
    <t xml:space="preserve">Ovchi tier bonusi</t>
  </si>
  <si>
    <t xml:space="preserve">Yuqori tier ovchi koʻproq ovlaydi</t>
  </si>
  <si>
    <t xml:space="preserve">Oʻlja toʻdasi boʻluvchisi</t>
  </si>
  <si>
    <t xml:space="preserve">kg/boʻri</t>
  </si>
  <si>
    <t xml:space="preserve">Minimal toʻda = oʻlja vazni ÷ shu (yuqoriga)</t>
  </si>
  <si>
    <t xml:space="preserve">Kichik oʻlja jazosi</t>
  </si>
  <si>
    <t xml:space="preserve">Toʻda yetmasa ov natijasi × shu</t>
  </si>
  <si>
    <t xml:space="preserve">Ov guruhi bonusi</t>
  </si>
  <si>
    <t xml:space="preserve">ulush/oʻyinchi</t>
  </si>
  <si>
    <t xml:space="preserve">Har qoʻshimcha oʻyinchi uchun</t>
  </si>
  <si>
    <t xml:space="preserve">Ov guruhi maksimal hajmi</t>
  </si>
  <si>
    <t xml:space="preserve">2–4 oʻyinchi</t>
  </si>
  <si>
    <t xml:space="preserve">Ovdan shifobaxsh oʻt</t>
  </si>
  <si>
    <t xml:space="preserve">Ov natijasining shunchasi oʻt (birlik)</t>
  </si>
  <si>
    <t xml:space="preserve">Oy nuri va suv</t>
  </si>
  <si>
    <t xml:space="preserve">Oy nuri ehtiyoj darajasi</t>
  </si>
  <si>
    <t xml:space="preserve">Shu darajadan oy nuri kerak</t>
  </si>
  <si>
    <t xml:space="preserve">Oy nuri passiv ishlab chiqarishi</t>
  </si>
  <si>
    <t xml:space="preserve">birlik/askar/soat</t>
  </si>
  <si>
    <t xml:space="preserve">Ehtiyojning 72%</t>
  </si>
  <si>
    <t xml:space="preserve">Oy mehrobi bonusi</t>
  </si>
  <si>
    <t xml:space="preserve">Passiv oy nuriga qoʻshiladi (72% → 100%)</t>
  </si>
  <si>
    <t xml:space="preserve">Oy nuri yetishmasligi CP jazosi</t>
  </si>
  <si>
    <t xml:space="preserve">Goʻsht ochligidan alohida</t>
  </si>
  <si>
    <t xml:space="preserve">Bozor: oy nuri kurs koeffitsienti</t>
  </si>
  <si>
    <t xml:space="preserve">Oy nuri boshqa resursdan shuncha qimmat</t>
  </si>
  <si>
    <t xml:space="preserve">Suv yetishmasligi tezlik jazosi</t>
  </si>
  <si>
    <t xml:space="preserve">Yurish tezligi shuncha kamayadi</t>
  </si>
  <si>
    <t xml:space="preserve">Davolash</t>
  </si>
  <si>
    <t xml:space="preserve">Davolash narxi: oʻt</t>
  </si>
  <si>
    <t xml:space="preserve">birlik/tier</t>
  </si>
  <si>
    <t xml:space="preserve">Bir boʻri uchun</t>
  </si>
  <si>
    <t xml:space="preserve">Shifo gʻorisiz tuzalish vaqti</t>
  </si>
  <si>
    <t xml:space="preserve">1–5 daraja: bepul, sekin</t>
  </si>
  <si>
    <t xml:space="preserve">Jang natijasi</t>
  </si>
  <si>
    <t xml:space="preserve">Toʻliq gʻalaba chegarasi</t>
  </si>
  <si>
    <t xml:space="preserve">R</t>
  </si>
  <si>
    <t xml:space="preserve">R shundan katta yoki teng</t>
  </si>
  <si>
    <t xml:space="preserve">Gʻalaba chegarasi</t>
  </si>
  <si>
    <t xml:space="preserve">Qisman gʻalaba shundan</t>
  </si>
  <si>
    <t xml:space="preserve">Magʻlubiyat chegarasi</t>
  </si>
  <si>
    <t xml:space="preserve">R shundan kichik yoki teng — magʻlubiyat; oraliq — durang</t>
  </si>
  <si>
    <t xml:space="preserve">Tuzoq ehtimoli</t>
  </si>
  <si>
    <t xml:space="preserve">Razvedkasiz hujumda</t>
  </si>
  <si>
    <t xml:space="preserve">Tuzoq zarari</t>
  </si>
  <si>
    <t xml:space="preserve">Hujumchi yoʻqotishiga qoʻshiladi</t>
  </si>
  <si>
    <t xml:space="preserve">Chekinish chegarasi</t>
  </si>
  <si>
    <t xml:space="preserve">Yoʻqotish shundan oshsa jang 4-raundda tugaydi</t>
  </si>
  <si>
    <t xml:space="preserve">Himoya devori bonusi</t>
  </si>
  <si>
    <t xml:space="preserve">Himoyachi EP si</t>
  </si>
  <si>
    <t xml:space="preserve">Bir raqibga kunlik hujum</t>
  </si>
  <si>
    <t xml:space="preserve">24 soat ichida</t>
  </si>
  <si>
    <t xml:space="preserve">Qisman gʻalaba oʻlja koeffitsienti</t>
  </si>
  <si>
    <t xml:space="preserve">Toʻliq gʻalaba — 1.00</t>
  </si>
  <si>
    <t xml:space="preserve">Takror hujum koeff. (2-hujum)</t>
  </si>
  <si>
    <t xml:space="preserve">Takror hujum koeff. (3-hujum)</t>
  </si>
  <si>
    <t xml:space="preserve">Daraja oʻlja koeff. −1</t>
  </si>
  <si>
    <t xml:space="preserve">Pastga hujum</t>
  </si>
  <si>
    <t xml:space="preserve">Daraja oʻlja koeff. +1</t>
  </si>
  <si>
    <t xml:space="preserve">Yuqoriga hujum</t>
  </si>
  <si>
    <t xml:space="preserve">Daraja oʻlja koeff. −2</t>
  </si>
  <si>
    <t xml:space="preserve">Kengaygan oyna</t>
  </si>
  <si>
    <t xml:space="preserve">Daraja oʻlja koeff. +2</t>
  </si>
  <si>
    <t xml:space="preserve">Daraja oʻlja koeff. −3</t>
  </si>
  <si>
    <t xml:space="preserve">Daraja oʻlja koeff. +3</t>
  </si>
  <si>
    <t xml:space="preserve">Oflayn himoyachi oʻlja koeff.</t>
  </si>
  <si>
    <t xml:space="preserve">Himoyachi 24+ soat oflayn boʻlsa</t>
  </si>
  <si>
    <t xml:space="preserve">Oflayn oʻlja chegarasi</t>
  </si>
  <si>
    <t xml:space="preserve">Shundan uzoq oflayn</t>
  </si>
  <si>
    <t xml:space="preserve">Yovvoyi toʻdalar (botlar)</t>
  </si>
  <si>
    <t xml:space="preserve">Botlar ochilish darajasi</t>
  </si>
  <si>
    <t xml:space="preserve">4–6 darajada roʻyxat faqat botlardan</t>
  </si>
  <si>
    <t xml:space="preserve">Bot kuchi: kuchsiz</t>
  </si>
  <si>
    <t xml:space="preserve">Oʻyinchi EP siga nisbatan</t>
  </si>
  <si>
    <t xml:space="preserve">Bot kuchi: teng</t>
  </si>
  <si>
    <t xml:space="preserve">Bot kuchi: kuchli</t>
  </si>
  <si>
    <t xml:space="preserve">Bot tasodif oraligʻi</t>
  </si>
  <si>
    <t xml:space="preserve">±shuncha</t>
  </si>
  <si>
    <t xml:space="preserve">Navbat, qalqon va boshqalar</t>
  </si>
  <si>
    <t xml:space="preserve">Bekor qilishda qaytarish</t>
  </si>
  <si>
    <t xml:space="preserve">Navbat bekor qilinsa resursning shunchasi qaytadi</t>
  </si>
  <si>
    <t xml:space="preserve">Ikkinchi navbat bepul darajasi</t>
  </si>
  <si>
    <t xml:space="preserve">Shu darajadan hammaga</t>
  </si>
  <si>
    <t xml:space="preserve">Oflayn ombor xaridi</t>
  </si>
  <si>
    <t xml:space="preserve">Oflayn koeffitsientga qoʻshiladi (2.0 → 2.5)</t>
  </si>
  <si>
    <t xml:space="preserve">Oflayn chegarasi</t>
  </si>
  <si>
    <t xml:space="preserve">Oxirgi soʻrovdan shuncha oʻtsa — oflayn</t>
  </si>
  <si>
    <t xml:space="preserve">In mashq tezlanishi</t>
  </si>
  <si>
    <t xml:space="preserve">In darajasi boshiga</t>
  </si>
  <si>
    <t xml:space="preserve">Lager ulushi tavani</t>
  </si>
  <si>
    <t xml:space="preserve">Ustaxona kunlik ishlab chiqarishiga nisbatan</t>
  </si>
  <si>
    <t xml:space="preserve">Reyd qalqoni: yoʻqotish chegarasi</t>
  </si>
  <si>
    <t xml:space="preserve">Shundan koʻp yoʻqotgan himoyachiga qalqon</t>
  </si>
  <si>
    <t xml:space="preserve">Reyd qalqoni</t>
  </si>
  <si>
    <t xml:space="preserve">30%+ yoʻqotgandan keyin</t>
  </si>
  <si>
    <t xml:space="preserve">Ketma-ket magʻlubiyat qalqoni</t>
  </si>
  <si>
    <t xml:space="preserve">Ketma-ket 2 magʻlubiyatdan keyin</t>
  </si>
  <si>
    <t xml:space="preserve">Tanishtiruv tezlashtirish uzunligi</t>
  </si>
  <si>
    <t xml:space="preserve">Har bir bepul tezlashtirish</t>
  </si>
  <si>
    <t xml:space="preserve">Urushni rad etish jarimasi</t>
  </si>
  <si>
    <t xml:space="preserve">reyting</t>
  </si>
  <si>
    <t xml:space="preserve">Klan reytingidan</t>
  </si>
  <si>
    <t xml:space="preserve">Tungi reyd tezlik bonusi</t>
  </si>
  <si>
    <t xml:space="preserve">22-darajadan, 22:00–06:00</t>
  </si>
  <si>
    <t xml:space="preserve">Izoh: vazn ustuni haqiqiy zoologik maʼlumotlarga (oʻrtacha katta erkak boʻri vazni) asoslangan; mifologik boʻrilarda vazn yoʻq.</t>
  </si>
  <si>
    <t xml:space="preserve">Barcha stat, XP, oziq va bino raqamlari shu varaqdagi kiritmalardan formulalar orqali hisoblanadi — balansni faqat shu yerdan sozlang.</t>
  </si>
  <si>
    <t xml:space="preserve">Bazaviy qiymatlar — test uchun taklif qilingan boshlangʻich raqamlar, haqiqiy oʻyin maʼlumotiga qarab oʻzgartiriladi.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</si>
</sst>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F4E9E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9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Q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3" customFormat="false" ht="15" hidden="false" customHeight="false" outlineLevel="0" collapsed="false">
      <c r="A3" s="1" t="s">
        <v>0</v>
      </c>
    </row>
    <row r="4" customFormat="false" ht="15" hidden="false" customHeight="false" outlineLevel="0" collapsed="false">
      <c r="A4" s="1" t="s">
        <v>1</v>
      </c>
    </row>
    <row r="5" customFormat="false" ht="15" hidden="false" customHeight="false" outlineLevel="0" collapsed="false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</row>
    <row r="6" customFormat="false" ht="15" hidden="false" customHeight="false" outlineLevel="0" collapsed="false">
      <c r="A6" s="1" t="n">
        <v>1</v>
      </c>
      <c r="B6" s="1" t="s">
        <v>19</v>
      </c>
      <c r="C6" s="1" t="s">
        <v>20</v>
      </c>
      <c r="D6" s="1" t="s">
        <v>21</v>
      </c>
      <c r="E6" s="1" t="n">
        <v>15</v>
      </c>
      <c r="F6" s="1" t="n">
        <f aca="false">IF(D6="Haqiqiy",class_real,IF(D6="Qadimgi",class_ancient,class_myth))</f>
        <v>1</v>
      </c>
      <c r="G6" s="3" t="n">
        <v>0.9</v>
      </c>
      <c r="H6" s="3" t="n">
        <v>1.1</v>
      </c>
      <c r="I6" s="1" t="n">
        <v>0</v>
      </c>
      <c r="J6" s="1" t="n">
        <v>0</v>
      </c>
      <c r="K6" s="1" t="n">
        <f aca="false">ROUND(stat_power_base*stat_power_growth^(A6-1)*F6*G6,0)</f>
        <v>11</v>
      </c>
      <c r="L6" s="1" t="n">
        <f aca="false">ROUND(stat_speed_base*stat_speed_growth^(A6-1)*F6*H6,0)</f>
        <v>11</v>
      </c>
      <c r="M6" s="1" t="n">
        <f aca="false">ROUND(stat_hp_base*stat_hp_growth^(A6-1)*F6,0)</f>
        <v>60</v>
      </c>
      <c r="N6" s="1" t="n">
        <f aca="false">ROUND(K6*cp_w_power+L6*cp_w_speed+M6*cp_w_hp,0)</f>
        <v>69</v>
      </c>
      <c r="O6" s="1" t="n">
        <f aca="false">IF(A6&lt;pack_unlock_level,pack_solo_size,ROUND(pack_base*pack_growth^(A6-pack_unlock_level),0))</f>
        <v>1</v>
      </c>
      <c r="P6" s="1" t="n">
        <f aca="false">IF(A6&lt;=4,stage_early,IF(A6&lt;=stage_mid_level,stage_mid,IF(A6&lt;=stage_late_level,stage_normal,stage_late)))</f>
        <v>0.4</v>
      </c>
      <c r="Q6" s="1" t="s">
        <v>22</v>
      </c>
    </row>
    <row r="7" customFormat="false" ht="15" hidden="false" customHeight="false" outlineLevel="0" collapsed="false">
      <c r="A7" s="1" t="n">
        <v>2</v>
      </c>
      <c r="B7" s="1" t="s">
        <v>23</v>
      </c>
      <c r="C7" s="1" t="s">
        <v>24</v>
      </c>
      <c r="D7" s="1" t="s">
        <v>21</v>
      </c>
      <c r="E7" s="1" t="n">
        <v>16</v>
      </c>
      <c r="F7" s="1" t="n">
        <f aca="false">IF(D7="Haqiqiy",class_real,IF(D7="Qadimgi",class_ancient,class_myth))</f>
        <v>1</v>
      </c>
      <c r="G7" s="3" t="n">
        <v>0.92</v>
      </c>
      <c r="H7" s="3" t="n">
        <v>1.12</v>
      </c>
      <c r="I7" s="1" t="n">
        <f aca="false">ROUND(xp_base*xp_growth^(A7-2)*P7,-1)</f>
        <v>30</v>
      </c>
      <c r="J7" s="1" t="n">
        <f aca="false">J6+I7</f>
        <v>30</v>
      </c>
      <c r="K7" s="1" t="n">
        <f aca="false">ROUND(stat_power_base*stat_power_growth^(A7-1)*F7*G7,0)</f>
        <v>13</v>
      </c>
      <c r="L7" s="1" t="n">
        <f aca="false">ROUND(stat_speed_base*stat_speed_growth^(A7-1)*F7*H7,0)</f>
        <v>13</v>
      </c>
      <c r="M7" s="1" t="n">
        <f aca="false">ROUND(stat_hp_base*stat_hp_growth^(A7-1)*F7,0)</f>
        <v>71</v>
      </c>
      <c r="N7" s="1" t="n">
        <f aca="false">ROUND(K7*cp_w_power+L7*cp_w_speed+M7*cp_w_hp,0)</f>
        <v>81</v>
      </c>
      <c r="O7" s="1" t="n">
        <f aca="false">IF(A7&lt;pack_unlock_level,pack_solo_size,ROUND(pack_base*pack_growth^(A7-pack_unlock_level),0))</f>
        <v>1</v>
      </c>
      <c r="P7" s="1" t="n">
        <f aca="false">IF(A7&lt;=4,stage_early,IF(A7&lt;=stage_mid_level,stage_mid,IF(A7&lt;=stage_late_level,stage_normal,stage_late)))</f>
        <v>0.4</v>
      </c>
      <c r="Q7" s="1" t="s">
        <v>25</v>
      </c>
    </row>
    <row r="8" customFormat="false" ht="15" hidden="false" customHeight="false" outlineLevel="0" collapsed="false">
      <c r="A8" s="1" t="n">
        <v>3</v>
      </c>
      <c r="B8" s="1" t="s">
        <v>26</v>
      </c>
      <c r="C8" s="1" t="s">
        <v>27</v>
      </c>
      <c r="D8" s="1" t="s">
        <v>21</v>
      </c>
      <c r="E8" s="1" t="n">
        <v>20</v>
      </c>
      <c r="F8" s="1" t="n">
        <f aca="false">IF(D8="Haqiqiy",class_real,IF(D8="Qadimgi",class_ancient,class_myth))</f>
        <v>1</v>
      </c>
      <c r="G8" s="3" t="n">
        <v>0.95</v>
      </c>
      <c r="H8" s="3" t="n">
        <v>1.15</v>
      </c>
      <c r="I8" s="1" t="n">
        <f aca="false">ROUND(xp_base*xp_growth^(A8-2)*P8,-1)</f>
        <v>40</v>
      </c>
      <c r="J8" s="1" t="n">
        <f aca="false">J7+I8</f>
        <v>70</v>
      </c>
      <c r="K8" s="1" t="n">
        <f aca="false">ROUND(stat_power_base*stat_power_growth^(A8-1)*F8*G8,0)</f>
        <v>16</v>
      </c>
      <c r="L8" s="1" t="n">
        <f aca="false">ROUND(stat_speed_base*stat_speed_growth^(A8-1)*F8*H8,0)</f>
        <v>15</v>
      </c>
      <c r="M8" s="1" t="n">
        <f aca="false">ROUND(stat_hp_base*stat_hp_growth^(A8-1)*F8,0)</f>
        <v>84</v>
      </c>
      <c r="N8" s="1" t="n">
        <f aca="false">ROUND(K8*cp_w_power+L8*cp_w_speed+M8*cp_w_hp,0)</f>
        <v>97</v>
      </c>
      <c r="O8" s="1" t="n">
        <f aca="false">IF(A8&lt;pack_unlock_level,pack_solo_size,ROUND(pack_base*pack_growth^(A8-pack_unlock_level),0))</f>
        <v>1</v>
      </c>
      <c r="P8" s="1" t="n">
        <f aca="false">IF(A8&lt;=4,stage_early,IF(A8&lt;=stage_mid_level,stage_mid,IF(A8&lt;=stage_late_level,stage_normal,stage_late)))</f>
        <v>0.4</v>
      </c>
      <c r="Q8" s="1" t="s">
        <v>28</v>
      </c>
    </row>
    <row r="9" customFormat="false" ht="15" hidden="false" customHeight="false" outlineLevel="0" collapsed="false">
      <c r="A9" s="1" t="n">
        <v>4</v>
      </c>
      <c r="B9" s="1" t="s">
        <v>29</v>
      </c>
      <c r="C9" s="1" t="s">
        <v>30</v>
      </c>
      <c r="D9" s="1" t="s">
        <v>21</v>
      </c>
      <c r="E9" s="1" t="n">
        <v>25</v>
      </c>
      <c r="F9" s="1" t="n">
        <f aca="false">IF(D9="Haqiqiy",class_real,IF(D9="Qadimgi",class_ancient,class_myth))</f>
        <v>1</v>
      </c>
      <c r="G9" s="3" t="n">
        <v>0.98</v>
      </c>
      <c r="H9" s="3" t="n">
        <v>1.14</v>
      </c>
      <c r="I9" s="1" t="n">
        <f aca="false">ROUND(xp_base*xp_growth^(A9-2)*P9,-1)</f>
        <v>60</v>
      </c>
      <c r="J9" s="1" t="n">
        <f aca="false">J8+I9</f>
        <v>130</v>
      </c>
      <c r="K9" s="1" t="n">
        <f aca="false">ROUND(stat_power_base*stat_power_growth^(A9-1)*F9*G9,0)</f>
        <v>20</v>
      </c>
      <c r="L9" s="1" t="n">
        <f aca="false">ROUND(stat_speed_base*stat_speed_growth^(A9-1)*F9*H9,0)</f>
        <v>16</v>
      </c>
      <c r="M9" s="1" t="n">
        <f aca="false">ROUND(stat_hp_base*stat_hp_growth^(A9-1)*F9,0)</f>
        <v>99</v>
      </c>
      <c r="N9" s="1" t="n">
        <f aca="false">ROUND(K9*cp_w_power+L9*cp_w_speed+M9*cp_w_hp,0)</f>
        <v>114</v>
      </c>
      <c r="O9" s="1" t="n">
        <f aca="false">IF(A9&lt;pack_unlock_level,pack_solo_size,ROUND(pack_base*pack_growth^(A9-pack_unlock_level),0))</f>
        <v>10</v>
      </c>
      <c r="P9" s="1" t="n">
        <f aca="false">IF(A9&lt;=4,stage_early,IF(A9&lt;=stage_mid_level,stage_mid,IF(A9&lt;=stage_late_level,stage_normal,stage_late)))</f>
        <v>0.4</v>
      </c>
      <c r="Q9" s="1" t="s">
        <v>31</v>
      </c>
    </row>
    <row r="10" customFormat="false" ht="15" hidden="false" customHeight="false" outlineLevel="0" collapsed="false">
      <c r="A10" s="1" t="n">
        <v>5</v>
      </c>
      <c r="B10" s="1" t="s">
        <v>32</v>
      </c>
      <c r="C10" s="1" t="s">
        <v>33</v>
      </c>
      <c r="D10" s="1" t="s">
        <v>21</v>
      </c>
      <c r="E10" s="1" t="n">
        <v>30</v>
      </c>
      <c r="F10" s="1" t="n">
        <f aca="false">IF(D10="Haqiqiy",class_real,IF(D10="Qadimgi",class_ancient,class_myth))</f>
        <v>1</v>
      </c>
      <c r="G10" s="3" t="n">
        <v>1</v>
      </c>
      <c r="H10" s="3" t="n">
        <v>1.08</v>
      </c>
      <c r="I10" s="1" t="n">
        <f aca="false">ROUND(xp_base*xp_growth^(A10-2)*P10,-1)</f>
        <v>150</v>
      </c>
      <c r="J10" s="1" t="n">
        <f aca="false">J9+I10</f>
        <v>280</v>
      </c>
      <c r="K10" s="1" t="n">
        <f aca="false">ROUND(stat_power_base*stat_power_growth^(A10-1)*F10*G10,0)</f>
        <v>25</v>
      </c>
      <c r="L10" s="1" t="n">
        <f aca="false">ROUND(stat_speed_base*stat_speed_growth^(A10-1)*F10*H10,0)</f>
        <v>18</v>
      </c>
      <c r="M10" s="1" t="n">
        <f aca="false">ROUND(stat_hp_base*stat_hp_growth^(A10-1)*F10,0)</f>
        <v>116</v>
      </c>
      <c r="N10" s="1" t="n">
        <f aca="false">ROUND(K10*cp_w_power+L10*cp_w_speed+M10*cp_w_hp,0)</f>
        <v>135</v>
      </c>
      <c r="O10" s="1" t="n">
        <f aca="false">IF(A10&lt;pack_unlock_level,pack_solo_size,ROUND(pack_base*pack_growth^(A10-pack_unlock_level),0))</f>
        <v>12</v>
      </c>
      <c r="P10" s="1" t="n">
        <f aca="false">IF(A10&lt;=4,stage_early,IF(A10&lt;=stage_mid_level,stage_mid,IF(A10&lt;=stage_late_level,stage_normal,stage_late)))</f>
        <v>0.7</v>
      </c>
      <c r="Q10" s="1" t="s">
        <v>34</v>
      </c>
    </row>
    <row r="11" customFormat="false" ht="15" hidden="false" customHeight="false" outlineLevel="0" collapsed="false">
      <c r="A11" s="1" t="n">
        <v>6</v>
      </c>
      <c r="B11" s="1" t="s">
        <v>35</v>
      </c>
      <c r="C11" s="1" t="s">
        <v>36</v>
      </c>
      <c r="D11" s="1" t="s">
        <v>21</v>
      </c>
      <c r="E11" s="1" t="n">
        <v>32</v>
      </c>
      <c r="F11" s="1" t="n">
        <f aca="false">IF(D11="Haqiqiy",class_real,IF(D11="Qadimgi",class_ancient,class_myth))</f>
        <v>1</v>
      </c>
      <c r="G11" s="3" t="n">
        <v>1.02</v>
      </c>
      <c r="H11" s="3" t="n">
        <v>1.06</v>
      </c>
      <c r="I11" s="1" t="n">
        <f aca="false">ROUND(xp_base*xp_growth^(A11-2)*P11,-1)</f>
        <v>200</v>
      </c>
      <c r="J11" s="1" t="n">
        <f aca="false">J10+I11</f>
        <v>480</v>
      </c>
      <c r="K11" s="1" t="n">
        <f aca="false">ROUND(stat_power_base*stat_power_growth^(A11-1)*F11*G11,0)</f>
        <v>30</v>
      </c>
      <c r="L11" s="1" t="n">
        <f aca="false">ROUND(stat_speed_base*stat_speed_growth^(A11-1)*F11*H11,0)</f>
        <v>20</v>
      </c>
      <c r="M11" s="1" t="n">
        <f aca="false">ROUND(stat_hp_base*stat_hp_growth^(A11-1)*F11,0)</f>
        <v>137</v>
      </c>
      <c r="N11" s="1" t="n">
        <f aca="false">ROUND(K11*cp_w_power+L11*cp_w_speed+M11*cp_w_hp,0)</f>
        <v>159</v>
      </c>
      <c r="O11" s="1" t="n">
        <f aca="false">IF(A11&lt;pack_unlock_level,pack_solo_size,ROUND(pack_base*pack_growth^(A11-pack_unlock_level),0))</f>
        <v>14</v>
      </c>
      <c r="P11" s="1" t="n">
        <f aca="false">IF(A11&lt;=4,stage_early,IF(A11&lt;=stage_mid_level,stage_mid,IF(A11&lt;=stage_late_level,stage_normal,stage_late)))</f>
        <v>0.7</v>
      </c>
      <c r="Q11" s="1" t="s">
        <v>37</v>
      </c>
    </row>
    <row r="12" customFormat="false" ht="15" hidden="false" customHeight="false" outlineLevel="0" collapsed="false">
      <c r="A12" s="1" t="n">
        <v>7</v>
      </c>
      <c r="B12" s="1" t="s">
        <v>38</v>
      </c>
      <c r="C12" s="1" t="s">
        <v>39</v>
      </c>
      <c r="D12" s="1" t="s">
        <v>21</v>
      </c>
      <c r="E12" s="1" t="n">
        <v>33</v>
      </c>
      <c r="F12" s="1" t="n">
        <f aca="false">IF(D12="Haqiqiy",class_real,IF(D12="Qadimgi",class_ancient,class_myth))</f>
        <v>1</v>
      </c>
      <c r="G12" s="3" t="n">
        <v>1.03</v>
      </c>
      <c r="H12" s="3" t="n">
        <v>1.07</v>
      </c>
      <c r="I12" s="1" t="n">
        <f aca="false">ROUND(xp_base*xp_growth^(A12-2)*P12,-1)</f>
        <v>280</v>
      </c>
      <c r="J12" s="1" t="n">
        <f aca="false">J11+I12</f>
        <v>760</v>
      </c>
      <c r="K12" s="1" t="n">
        <f aca="false">ROUND(stat_power_base*stat_power_growth^(A12-1)*F12*G12,0)</f>
        <v>37</v>
      </c>
      <c r="L12" s="1" t="n">
        <f aca="false">ROUND(stat_speed_base*stat_speed_growth^(A12-1)*F12*H12,0)</f>
        <v>22</v>
      </c>
      <c r="M12" s="1" t="n">
        <f aca="false">ROUND(stat_hp_base*stat_hp_growth^(A12-1)*F12,0)</f>
        <v>162</v>
      </c>
      <c r="N12" s="1" t="n">
        <f aca="false">ROUND(K12*cp_w_power+L12*cp_w_speed+M12*cp_w_hp,0)</f>
        <v>188</v>
      </c>
      <c r="O12" s="1" t="n">
        <f aca="false">IF(A12&lt;pack_unlock_level,pack_solo_size,ROUND(pack_base*pack_growth^(A12-pack_unlock_level),0))</f>
        <v>17</v>
      </c>
      <c r="P12" s="1" t="n">
        <f aca="false">IF(A12&lt;=4,stage_early,IF(A12&lt;=stage_mid_level,stage_mid,IF(A12&lt;=stage_late_level,stage_normal,stage_late)))</f>
        <v>0.7</v>
      </c>
      <c r="Q12" s="1" t="s">
        <v>40</v>
      </c>
    </row>
    <row r="13" customFormat="false" ht="15" hidden="false" customHeight="false" outlineLevel="0" collapsed="false">
      <c r="A13" s="1" t="n">
        <v>8</v>
      </c>
      <c r="B13" s="1" t="s">
        <v>41</v>
      </c>
      <c r="C13" s="1" t="s">
        <v>42</v>
      </c>
      <c r="D13" s="1" t="s">
        <v>21</v>
      </c>
      <c r="E13" s="1" t="n">
        <v>35</v>
      </c>
      <c r="F13" s="1" t="n">
        <f aca="false">IF(D13="Haqiqiy",class_real,IF(D13="Qadimgi",class_ancient,class_myth))</f>
        <v>1</v>
      </c>
      <c r="G13" s="3" t="n">
        <v>1.04</v>
      </c>
      <c r="H13" s="3" t="n">
        <v>1.05</v>
      </c>
      <c r="I13" s="1" t="n">
        <f aca="false">ROUND(xp_base*xp_growth^(A13-2)*P13,-1)</f>
        <v>390</v>
      </c>
      <c r="J13" s="1" t="n">
        <f aca="false">J12+I13</f>
        <v>1150</v>
      </c>
      <c r="K13" s="1" t="n">
        <f aca="false">ROUND(stat_power_base*stat_power_growth^(A13-1)*F13*G13,0)</f>
        <v>45</v>
      </c>
      <c r="L13" s="1" t="n">
        <f aca="false">ROUND(stat_speed_base*stat_speed_growth^(A13-1)*F13*H13,0)</f>
        <v>25</v>
      </c>
      <c r="M13" s="1" t="n">
        <f aca="false">ROUND(stat_hp_base*stat_hp_growth^(A13-1)*F13,0)</f>
        <v>191</v>
      </c>
      <c r="N13" s="1" t="n">
        <f aca="false">ROUND(K13*cp_w_power+L13*cp_w_speed+M13*cp_w_hp,0)</f>
        <v>223</v>
      </c>
      <c r="O13" s="1" t="n">
        <f aca="false">IF(A13&lt;pack_unlock_level,pack_solo_size,ROUND(pack_base*pack_growth^(A13-pack_unlock_level),0))</f>
        <v>21</v>
      </c>
      <c r="P13" s="1" t="n">
        <f aca="false">IF(A13&lt;=4,stage_early,IF(A13&lt;=stage_mid_level,stage_mid,IF(A13&lt;=stage_late_level,stage_normal,stage_late)))</f>
        <v>0.7</v>
      </c>
      <c r="Q13" s="1" t="s">
        <v>43</v>
      </c>
    </row>
    <row r="14" customFormat="false" ht="15" hidden="false" customHeight="false" outlineLevel="0" collapsed="false">
      <c r="A14" s="1" t="n">
        <v>9</v>
      </c>
      <c r="B14" s="1" t="s">
        <v>44</v>
      </c>
      <c r="C14" s="1" t="s">
        <v>45</v>
      </c>
      <c r="D14" s="1" t="s">
        <v>21</v>
      </c>
      <c r="E14" s="1" t="n">
        <v>38</v>
      </c>
      <c r="F14" s="1" t="n">
        <f aca="false">IF(D14="Haqiqiy",class_real,IF(D14="Qadimgi",class_ancient,class_myth))</f>
        <v>1</v>
      </c>
      <c r="G14" s="3" t="n">
        <v>1.06</v>
      </c>
      <c r="H14" s="3" t="n">
        <v>1.03</v>
      </c>
      <c r="I14" s="1" t="n">
        <f aca="false">ROUND(xp_base*xp_growth^(A14-2)*P14,-1)</f>
        <v>530</v>
      </c>
      <c r="J14" s="1" t="n">
        <f aca="false">J13+I14</f>
        <v>1680</v>
      </c>
      <c r="K14" s="1" t="n">
        <f aca="false">ROUND(stat_power_base*stat_power_growth^(A14-1)*F14*G14,0)</f>
        <v>55</v>
      </c>
      <c r="L14" s="1" t="n">
        <f aca="false">ROUND(stat_speed_base*stat_speed_growth^(A14-1)*F14*H14,0)</f>
        <v>27</v>
      </c>
      <c r="M14" s="1" t="n">
        <f aca="false">ROUND(stat_hp_base*stat_hp_growth^(A14-1)*F14,0)</f>
        <v>226</v>
      </c>
      <c r="N14" s="1" t="n">
        <f aca="false">ROUND(K14*cp_w_power+L14*cp_w_speed+M14*cp_w_hp,0)</f>
        <v>264</v>
      </c>
      <c r="O14" s="1" t="n">
        <f aca="false">IF(A14&lt;pack_unlock_level,pack_solo_size,ROUND(pack_base*pack_growth^(A14-pack_unlock_level),0))</f>
        <v>25</v>
      </c>
      <c r="P14" s="1" t="n">
        <f aca="false">IF(A14&lt;=4,stage_early,IF(A14&lt;=stage_mid_level,stage_mid,IF(A14&lt;=stage_late_level,stage_normal,stage_late)))</f>
        <v>0.7</v>
      </c>
      <c r="Q14" s="1" t="s">
        <v>46</v>
      </c>
    </row>
    <row r="15" customFormat="false" ht="15" hidden="false" customHeight="false" outlineLevel="0" collapsed="false">
      <c r="A15" s="1" t="n">
        <v>10</v>
      </c>
      <c r="B15" s="1" t="s">
        <v>47</v>
      </c>
      <c r="C15" s="1" t="s">
        <v>48</v>
      </c>
      <c r="D15" s="1" t="s">
        <v>21</v>
      </c>
      <c r="E15" s="1" t="n">
        <v>40</v>
      </c>
      <c r="F15" s="1" t="n">
        <f aca="false">IF(D15="Haqiqiy",class_real,IF(D15="Qadimgi",class_ancient,class_myth))</f>
        <v>1</v>
      </c>
      <c r="G15" s="3" t="n">
        <v>1.07</v>
      </c>
      <c r="H15" s="3" t="n">
        <v>1.1</v>
      </c>
      <c r="I15" s="1" t="n">
        <f aca="false">ROUND(xp_base*xp_growth^(A15-2)*P15,-1)</f>
        <v>740</v>
      </c>
      <c r="J15" s="1" t="n">
        <f aca="false">J14+I15</f>
        <v>2420</v>
      </c>
      <c r="K15" s="1" t="n">
        <f aca="false">ROUND(stat_power_base*stat_power_growth^(A15-1)*F15*G15,0)</f>
        <v>66</v>
      </c>
      <c r="L15" s="1" t="n">
        <f aca="false">ROUND(stat_speed_base*stat_speed_growth^(A15-1)*F15*H15,0)</f>
        <v>33</v>
      </c>
      <c r="M15" s="1" t="n">
        <f aca="false">ROUND(stat_hp_base*stat_hp_growth^(A15-1)*F15,0)</f>
        <v>266</v>
      </c>
      <c r="N15" s="1" t="n">
        <f aca="false">ROUND(K15*cp_w_power+L15*cp_w_speed+M15*cp_w_hp,0)</f>
        <v>315</v>
      </c>
      <c r="O15" s="1" t="n">
        <f aca="false">IF(A15&lt;pack_unlock_level,pack_solo_size,ROUND(pack_base*pack_growth^(A15-pack_unlock_level),0))</f>
        <v>30</v>
      </c>
      <c r="P15" s="1" t="n">
        <f aca="false">IF(A15&lt;=4,stage_early,IF(A15&lt;=stage_mid_level,stage_mid,IF(A15&lt;=stage_late_level,stage_normal,stage_late)))</f>
        <v>0.7</v>
      </c>
      <c r="Q15" s="1" t="s">
        <v>49</v>
      </c>
    </row>
    <row r="16" customFormat="false" ht="15" hidden="false" customHeight="false" outlineLevel="0" collapsed="false">
      <c r="A16" s="1" t="n">
        <v>11</v>
      </c>
      <c r="B16" s="1" t="s">
        <v>50</v>
      </c>
      <c r="C16" s="1" t="s">
        <v>51</v>
      </c>
      <c r="D16" s="1" t="s">
        <v>21</v>
      </c>
      <c r="E16" s="1" t="n">
        <v>42</v>
      </c>
      <c r="F16" s="1" t="n">
        <f aca="false">IF(D16="Haqiqiy",class_real,IF(D16="Qadimgi",class_ancient,class_myth))</f>
        <v>1</v>
      </c>
      <c r="G16" s="3" t="n">
        <v>1.09</v>
      </c>
      <c r="H16" s="3" t="n">
        <v>1.02</v>
      </c>
      <c r="I16" s="1" t="n">
        <f aca="false">ROUND(xp_base*xp_growth^(A16-2)*P16,-1)</f>
        <v>1450</v>
      </c>
      <c r="J16" s="1" t="n">
        <f aca="false">J15+I16</f>
        <v>3870</v>
      </c>
      <c r="K16" s="1" t="n">
        <f aca="false">ROUND(stat_power_base*stat_power_growth^(A16-1)*F16*G16,0)</f>
        <v>81</v>
      </c>
      <c r="L16" s="1" t="n">
        <f aca="false">ROUND(stat_speed_base*stat_speed_growth^(A16-1)*F16*H16,0)</f>
        <v>35</v>
      </c>
      <c r="M16" s="1" t="n">
        <f aca="false">ROUND(stat_hp_base*stat_hp_growth^(A16-1)*F16,0)</f>
        <v>314</v>
      </c>
      <c r="N16" s="1" t="n">
        <f aca="false">ROUND(K16*cp_w_power+L16*cp_w_speed+M16*cp_w_hp,0)</f>
        <v>372</v>
      </c>
      <c r="O16" s="1" t="n">
        <f aca="false">IF(A16&lt;pack_unlock_level,pack_solo_size,ROUND(pack_base*pack_growth^(A16-pack_unlock_level),0))</f>
        <v>36</v>
      </c>
      <c r="P16" s="1" t="n">
        <f aca="false">IF(A16&lt;=4,stage_early,IF(A16&lt;=stage_mid_level,stage_mid,IF(A16&lt;=stage_late_level,stage_normal,stage_late)))</f>
        <v>1</v>
      </c>
      <c r="Q16" s="1" t="s">
        <v>52</v>
      </c>
    </row>
    <row r="17" customFormat="false" ht="15" hidden="false" customHeight="false" outlineLevel="0" collapsed="false">
      <c r="A17" s="1" t="n">
        <v>12</v>
      </c>
      <c r="B17" s="1" t="s">
        <v>53</v>
      </c>
      <c r="C17" s="1" t="s">
        <v>54</v>
      </c>
      <c r="D17" s="1" t="s">
        <v>21</v>
      </c>
      <c r="E17" s="1" t="n">
        <v>44</v>
      </c>
      <c r="F17" s="1" t="n">
        <f aca="false">IF(D17="Haqiqiy",class_real,IF(D17="Qadimgi",class_ancient,class_myth))</f>
        <v>1</v>
      </c>
      <c r="G17" s="3" t="n">
        <v>1.1</v>
      </c>
      <c r="H17" s="3" t="n">
        <v>1.01</v>
      </c>
      <c r="I17" s="1" t="n">
        <f aca="false">ROUND(xp_base*xp_growth^(A17-2)*P17,-1)</f>
        <v>2000</v>
      </c>
      <c r="J17" s="1" t="n">
        <f aca="false">J16+I17</f>
        <v>5870</v>
      </c>
      <c r="K17" s="1" t="n">
        <f aca="false">ROUND(stat_power_base*stat_power_growth^(A17-1)*F17*G17,0)</f>
        <v>98</v>
      </c>
      <c r="L17" s="1" t="n">
        <f aca="false">ROUND(stat_speed_base*stat_speed_growth^(A17-1)*F17*H17,0)</f>
        <v>39</v>
      </c>
      <c r="M17" s="1" t="n">
        <f aca="false">ROUND(stat_hp_base*stat_hp_growth^(A17-1)*F17,0)</f>
        <v>371</v>
      </c>
      <c r="N17" s="1" t="n">
        <f aca="false">ROUND(K17*cp_w_power+L17*cp_w_speed+M17*cp_w_hp,0)</f>
        <v>440</v>
      </c>
      <c r="O17" s="1" t="n">
        <f aca="false">IF(A17&lt;pack_unlock_level,pack_solo_size,ROUND(pack_base*pack_growth^(A17-pack_unlock_level),0))</f>
        <v>43</v>
      </c>
      <c r="P17" s="1" t="n">
        <f aca="false">IF(A17&lt;=4,stage_early,IF(A17&lt;=stage_mid_level,stage_mid,IF(A17&lt;=stage_late_level,stage_normal,stage_late)))</f>
        <v>1</v>
      </c>
      <c r="Q17" s="1" t="s">
        <v>55</v>
      </c>
    </row>
    <row r="18" customFormat="false" ht="15" hidden="false" customHeight="false" outlineLevel="0" collapsed="false">
      <c r="A18" s="1" t="n">
        <v>13</v>
      </c>
      <c r="B18" s="1" t="s">
        <v>56</v>
      </c>
      <c r="C18" s="1" t="s">
        <v>57</v>
      </c>
      <c r="D18" s="1" t="s">
        <v>21</v>
      </c>
      <c r="E18" s="1" t="n">
        <v>45</v>
      </c>
      <c r="F18" s="1" t="n">
        <f aca="false">IF(D18="Haqiqiy",class_real,IF(D18="Qadimgi",class_ancient,class_myth))</f>
        <v>1</v>
      </c>
      <c r="G18" s="3" t="n">
        <v>1.11</v>
      </c>
      <c r="H18" s="3" t="n">
        <v>1</v>
      </c>
      <c r="I18" s="1" t="n">
        <f aca="false">ROUND(xp_base*xp_growth^(A18-2)*P18,-1)</f>
        <v>2770</v>
      </c>
      <c r="J18" s="1" t="n">
        <f aca="false">J17+I18</f>
        <v>8640</v>
      </c>
      <c r="K18" s="1" t="n">
        <f aca="false">ROUND(stat_power_base*stat_power_growth^(A18-1)*F18*G18,0)</f>
        <v>119</v>
      </c>
      <c r="L18" s="1" t="n">
        <f aca="false">ROUND(stat_speed_base*stat_speed_growth^(A18-1)*F18*H18,0)</f>
        <v>43</v>
      </c>
      <c r="M18" s="1" t="n">
        <f aca="false">ROUND(stat_hp_base*stat_hp_growth^(A18-1)*F18,0)</f>
        <v>437</v>
      </c>
      <c r="N18" s="1" t="n">
        <f aca="false">ROUND(K18*cp_w_power+L18*cp_w_speed+M18*cp_w_hp,0)</f>
        <v>521</v>
      </c>
      <c r="O18" s="1" t="n">
        <f aca="false">IF(A18&lt;pack_unlock_level,pack_solo_size,ROUND(pack_base*pack_growth^(A18-pack_unlock_level),0))</f>
        <v>52</v>
      </c>
      <c r="P18" s="1" t="n">
        <f aca="false">IF(A18&lt;=4,stage_early,IF(A18&lt;=stage_mid_level,stage_mid,IF(A18&lt;=stage_late_level,stage_normal,stage_late)))</f>
        <v>1</v>
      </c>
      <c r="Q18" s="1" t="s">
        <v>58</v>
      </c>
    </row>
    <row r="19" customFormat="false" ht="15" hidden="false" customHeight="false" outlineLevel="0" collapsed="false">
      <c r="A19" s="1" t="n">
        <v>14</v>
      </c>
      <c r="B19" s="1" t="s">
        <v>59</v>
      </c>
      <c r="C19" s="1" t="s">
        <v>60</v>
      </c>
      <c r="D19" s="1" t="s">
        <v>21</v>
      </c>
      <c r="E19" s="1" t="n">
        <v>46</v>
      </c>
      <c r="F19" s="1" t="n">
        <f aca="false">IF(D19="Haqiqiy",class_real,IF(D19="Qadimgi",class_ancient,class_myth))</f>
        <v>1</v>
      </c>
      <c r="G19" s="3" t="n">
        <v>1.12</v>
      </c>
      <c r="H19" s="3" t="n">
        <v>0.98</v>
      </c>
      <c r="I19" s="1" t="n">
        <f aca="false">ROUND(xp_base*xp_growth^(A19-2)*P19,-1)</f>
        <v>3820</v>
      </c>
      <c r="J19" s="1" t="n">
        <f aca="false">J18+I19</f>
        <v>12460</v>
      </c>
      <c r="K19" s="1" t="n">
        <f aca="false">ROUND(stat_power_base*stat_power_growth^(A19-1)*F19*G19,0)</f>
        <v>144</v>
      </c>
      <c r="L19" s="1" t="n">
        <f aca="false">ROUND(stat_speed_base*stat_speed_growth^(A19-1)*F19*H19,0)</f>
        <v>48</v>
      </c>
      <c r="M19" s="1" t="n">
        <f aca="false">ROUND(stat_hp_base*stat_hp_growth^(A19-1)*F19,0)</f>
        <v>516</v>
      </c>
      <c r="N19" s="1" t="n">
        <f aca="false">ROUND(K19*cp_w_power+L19*cp_w_speed+M19*cp_w_hp,0)</f>
        <v>618</v>
      </c>
      <c r="O19" s="1" t="n">
        <f aca="false">IF(A19&lt;pack_unlock_level,pack_solo_size,ROUND(pack_base*pack_growth^(A19-pack_unlock_level),0))</f>
        <v>62</v>
      </c>
      <c r="P19" s="1" t="n">
        <f aca="false">IF(A19&lt;=4,stage_early,IF(A19&lt;=stage_mid_level,stage_mid,IF(A19&lt;=stage_late_level,stage_normal,stage_late)))</f>
        <v>1</v>
      </c>
      <c r="Q19" s="1" t="s">
        <v>61</v>
      </c>
    </row>
    <row r="20" customFormat="false" ht="15" hidden="false" customHeight="false" outlineLevel="0" collapsed="false">
      <c r="A20" s="1" t="n">
        <v>15</v>
      </c>
      <c r="B20" s="1" t="s">
        <v>62</v>
      </c>
      <c r="C20" s="1" t="s">
        <v>63</v>
      </c>
      <c r="D20" s="1" t="s">
        <v>21</v>
      </c>
      <c r="E20" s="1" t="n">
        <v>48</v>
      </c>
      <c r="F20" s="1" t="n">
        <f aca="false">IF(D20="Haqiqiy",class_real,IF(D20="Qadimgi",class_ancient,class_myth))</f>
        <v>1</v>
      </c>
      <c r="G20" s="3" t="n">
        <v>1.14</v>
      </c>
      <c r="H20" s="3" t="n">
        <v>1</v>
      </c>
      <c r="I20" s="1" t="n">
        <f aca="false">ROUND(xp_base*xp_growth^(A20-2)*P20,-1)</f>
        <v>5270</v>
      </c>
      <c r="J20" s="1" t="n">
        <f aca="false">J19+I20</f>
        <v>17730</v>
      </c>
      <c r="K20" s="1" t="n">
        <f aca="false">ROUND(stat_power_base*stat_power_growth^(A20-1)*F20*G20,0)</f>
        <v>176</v>
      </c>
      <c r="L20" s="1" t="n">
        <f aca="false">ROUND(stat_speed_base*stat_speed_growth^(A20-1)*F20*H20,0)</f>
        <v>55</v>
      </c>
      <c r="M20" s="1" t="n">
        <f aca="false">ROUND(stat_hp_base*stat_hp_growth^(A20-1)*F20,0)</f>
        <v>609</v>
      </c>
      <c r="N20" s="1" t="n">
        <f aca="false">ROUND(K20*cp_w_power+L20*cp_w_speed+M20*cp_w_hp,0)</f>
        <v>739</v>
      </c>
      <c r="O20" s="1" t="n">
        <f aca="false">IF(A20&lt;pack_unlock_level,pack_solo_size,ROUND(pack_base*pack_growth^(A20-pack_unlock_level),0))</f>
        <v>74</v>
      </c>
      <c r="P20" s="1" t="n">
        <f aca="false">IF(A20&lt;=4,stage_early,IF(A20&lt;=stage_mid_level,stage_mid,IF(A20&lt;=stage_late_level,stage_normal,stage_late)))</f>
        <v>1</v>
      </c>
      <c r="Q20" s="1" t="s">
        <v>64</v>
      </c>
    </row>
    <row r="21" customFormat="false" ht="15" hidden="false" customHeight="false" outlineLevel="0" collapsed="false">
      <c r="A21" s="1" t="n">
        <v>16</v>
      </c>
      <c r="B21" s="1" t="s">
        <v>65</v>
      </c>
      <c r="C21" s="1" t="s">
        <v>66</v>
      </c>
      <c r="D21" s="1" t="s">
        <v>21</v>
      </c>
      <c r="E21" s="1" t="n">
        <v>55</v>
      </c>
      <c r="F21" s="1" t="n">
        <f aca="false">IF(D21="Haqiqiy",class_real,IF(D21="Qadimgi",class_ancient,class_myth))</f>
        <v>1</v>
      </c>
      <c r="G21" s="3" t="n">
        <v>1.16</v>
      </c>
      <c r="H21" s="3" t="n">
        <v>0.99</v>
      </c>
      <c r="I21" s="1" t="n">
        <f aca="false">ROUND(xp_base*xp_growth^(A21-2)*P21,-1)</f>
        <v>9080</v>
      </c>
      <c r="J21" s="1" t="n">
        <f aca="false">J20+I21</f>
        <v>26810</v>
      </c>
      <c r="K21" s="1" t="n">
        <f aca="false">ROUND(stat_power_base*stat_power_growth^(A21-1)*F21*G21,0)</f>
        <v>214</v>
      </c>
      <c r="L21" s="1" t="n">
        <f aca="false">ROUND(stat_speed_base*stat_speed_growth^(A21-1)*F21*H21,0)</f>
        <v>62</v>
      </c>
      <c r="M21" s="1" t="n">
        <f aca="false">ROUND(stat_hp_base*stat_hp_growth^(A21-1)*F21,0)</f>
        <v>718</v>
      </c>
      <c r="N21" s="1" t="n">
        <f aca="false">ROUND(K21*cp_w_power+L21*cp_w_speed+M21*cp_w_hp,0)</f>
        <v>880</v>
      </c>
      <c r="O21" s="1" t="n">
        <f aca="false">IF(A21&lt;pack_unlock_level,pack_solo_size,ROUND(pack_base*pack_growth^(A21-pack_unlock_level),0))</f>
        <v>89</v>
      </c>
      <c r="P21" s="1" t="n">
        <f aca="false">IF(A21&lt;=4,stage_early,IF(A21&lt;=stage_mid_level,stage_mid,IF(A21&lt;=stage_late_level,stage_normal,stage_late)))</f>
        <v>1.25</v>
      </c>
      <c r="Q21" s="1" t="s">
        <v>67</v>
      </c>
    </row>
    <row r="22" customFormat="false" ht="15" hidden="false" customHeight="false" outlineLevel="0" collapsed="false">
      <c r="A22" s="1" t="n">
        <v>17</v>
      </c>
      <c r="B22" s="1" t="s">
        <v>68</v>
      </c>
      <c r="C22" s="1" t="s">
        <v>69</v>
      </c>
      <c r="D22" s="1" t="s">
        <v>21</v>
      </c>
      <c r="E22" s="1" t="n">
        <v>57</v>
      </c>
      <c r="F22" s="1" t="n">
        <f aca="false">IF(D22="Haqiqiy",class_real,IF(D22="Qadimgi",class_ancient,class_myth))</f>
        <v>1</v>
      </c>
      <c r="G22" s="3" t="n">
        <v>1.18</v>
      </c>
      <c r="H22" s="3" t="n">
        <v>0.97</v>
      </c>
      <c r="I22" s="1" t="n">
        <f aca="false">ROUND(xp_base*xp_growth^(A22-2)*P22,-1)</f>
        <v>12540</v>
      </c>
      <c r="J22" s="1" t="n">
        <f aca="false">J21+I22</f>
        <v>39350</v>
      </c>
      <c r="K22" s="1" t="n">
        <f aca="false">ROUND(stat_power_base*stat_power_growth^(A22-1)*F22*G22,0)</f>
        <v>262</v>
      </c>
      <c r="L22" s="1" t="n">
        <f aca="false">ROUND(stat_speed_base*stat_speed_growth^(A22-1)*F22*H22,0)</f>
        <v>69</v>
      </c>
      <c r="M22" s="1" t="n">
        <f aca="false">ROUND(stat_hp_base*stat_hp_growth^(A22-1)*F22,0)</f>
        <v>848</v>
      </c>
      <c r="N22" s="1" t="n">
        <f aca="false">ROUND(K22*cp_w_power+L22*cp_w_speed+M22*cp_w_hp,0)</f>
        <v>1052</v>
      </c>
      <c r="O22" s="1" t="n">
        <f aca="false">IF(A22&lt;pack_unlock_level,pack_solo_size,ROUND(pack_base*pack_growth^(A22-pack_unlock_level),0))</f>
        <v>107</v>
      </c>
      <c r="P22" s="1" t="n">
        <f aca="false">IF(A22&lt;=4,stage_early,IF(A22&lt;=stage_mid_level,stage_mid,IF(A22&lt;=stage_late_level,stage_normal,stage_late)))</f>
        <v>1.25</v>
      </c>
      <c r="Q22" s="1" t="s">
        <v>70</v>
      </c>
    </row>
    <row r="23" customFormat="false" ht="15" hidden="false" customHeight="false" outlineLevel="0" collapsed="false">
      <c r="A23" s="1" t="n">
        <v>18</v>
      </c>
      <c r="B23" s="1" t="s">
        <v>71</v>
      </c>
      <c r="C23" s="1" t="s">
        <v>72</v>
      </c>
      <c r="D23" s="1" t="s">
        <v>21</v>
      </c>
      <c r="E23" s="1" t="n">
        <v>60</v>
      </c>
      <c r="F23" s="1" t="n">
        <f aca="false">IF(D23="Haqiqiy",class_real,IF(D23="Qadimgi",class_ancient,class_myth))</f>
        <v>1</v>
      </c>
      <c r="G23" s="3" t="n">
        <v>1.2</v>
      </c>
      <c r="H23" s="3" t="n">
        <v>0.96</v>
      </c>
      <c r="I23" s="1" t="n">
        <f aca="false">ROUND(xp_base*xp_growth^(A23-2)*P23,-1)</f>
        <v>17300</v>
      </c>
      <c r="J23" s="1" t="n">
        <f aca="false">J22+I23</f>
        <v>56650</v>
      </c>
      <c r="K23" s="1" t="n">
        <f aca="false">ROUND(stat_power_base*stat_power_growth^(A23-1)*F23*G23,0)</f>
        <v>319</v>
      </c>
      <c r="L23" s="1" t="n">
        <f aca="false">ROUND(stat_speed_base*stat_speed_growth^(A23-1)*F23*H23,0)</f>
        <v>77</v>
      </c>
      <c r="M23" s="1" t="n">
        <f aca="false">ROUND(stat_hp_base*stat_hp_growth^(A23-1)*F23,0)</f>
        <v>1000</v>
      </c>
      <c r="N23" s="1" t="n">
        <f aca="false">ROUND(K23*cp_w_power+L23*cp_w_speed+M23*cp_w_hp,0)</f>
        <v>1254</v>
      </c>
      <c r="O23" s="1" t="n">
        <f aca="false">IF(A23&lt;pack_unlock_level,pack_solo_size,ROUND(pack_base*pack_growth^(A23-pack_unlock_level),0))</f>
        <v>128</v>
      </c>
      <c r="P23" s="1" t="n">
        <f aca="false">IF(A23&lt;=4,stage_early,IF(A23&lt;=stage_mid_level,stage_mid,IF(A23&lt;=stage_late_level,stage_normal,stage_late)))</f>
        <v>1.25</v>
      </c>
      <c r="Q23" s="1" t="s">
        <v>73</v>
      </c>
    </row>
    <row r="24" customFormat="false" ht="15" hidden="false" customHeight="false" outlineLevel="0" collapsed="false">
      <c r="A24" s="1" t="n">
        <v>19</v>
      </c>
      <c r="B24" s="1" t="s">
        <v>74</v>
      </c>
      <c r="C24" s="1" t="s">
        <v>75</v>
      </c>
      <c r="D24" s="1" t="s">
        <v>21</v>
      </c>
      <c r="E24" s="1" t="n">
        <v>75</v>
      </c>
      <c r="F24" s="1" t="n">
        <f aca="false">IF(D24="Haqiqiy",class_real,IF(D24="Qadimgi",class_ancient,class_myth))</f>
        <v>1</v>
      </c>
      <c r="G24" s="3" t="n">
        <v>1.25</v>
      </c>
      <c r="H24" s="3" t="n">
        <v>0.95</v>
      </c>
      <c r="I24" s="1" t="n">
        <f aca="false">ROUND(xp_base*xp_growth^(A24-2)*P24,-1)</f>
        <v>23880</v>
      </c>
      <c r="J24" s="1" t="n">
        <f aca="false">J23+I24</f>
        <v>80530</v>
      </c>
      <c r="K24" s="1" t="n">
        <f aca="false">ROUND(stat_power_base*stat_power_growth^(A24-1)*F24*G24,0)</f>
        <v>399</v>
      </c>
      <c r="L24" s="1" t="n">
        <f aca="false">ROUND(stat_speed_base*stat_speed_growth^(A24-1)*F24*H24,0)</f>
        <v>86</v>
      </c>
      <c r="M24" s="1" t="n">
        <f aca="false">ROUND(stat_hp_base*stat_hp_growth^(A24-1)*F24,0)</f>
        <v>1180</v>
      </c>
      <c r="N24" s="1" t="n">
        <f aca="false">ROUND(K24*cp_w_power+L24*cp_w_speed+M24*cp_w_hp,0)</f>
        <v>1517</v>
      </c>
      <c r="O24" s="1" t="n">
        <f aca="false">IF(A24&lt;pack_unlock_level,pack_solo_size,ROUND(pack_base*pack_growth^(A24-pack_unlock_level),0))</f>
        <v>154</v>
      </c>
      <c r="P24" s="1" t="n">
        <f aca="false">IF(A24&lt;=4,stage_early,IF(A24&lt;=stage_mid_level,stage_mid,IF(A24&lt;=stage_late_level,stage_normal,stage_late)))</f>
        <v>1.25</v>
      </c>
      <c r="Q24" s="1" t="s">
        <v>76</v>
      </c>
    </row>
    <row r="25" customFormat="false" ht="15" hidden="false" customHeight="false" outlineLevel="0" collapsed="false">
      <c r="A25" s="1" t="n">
        <v>20</v>
      </c>
      <c r="B25" s="1" t="s">
        <v>77</v>
      </c>
      <c r="C25" s="1" t="s">
        <v>78</v>
      </c>
      <c r="D25" s="1" t="s">
        <v>79</v>
      </c>
      <c r="E25" s="1" t="n">
        <v>65</v>
      </c>
      <c r="F25" s="1" t="n">
        <f aca="false">IF(D25="Haqiqiy",class_real,IF(D25="Qadimgi",class_ancient,class_myth))</f>
        <v>1.35</v>
      </c>
      <c r="G25" s="3" t="n">
        <v>1.3</v>
      </c>
      <c r="H25" s="3" t="n">
        <v>0.94</v>
      </c>
      <c r="I25" s="1" t="n">
        <f aca="false">ROUND(xp_base*xp_growth^(A25-2)*P25,-1)</f>
        <v>32950</v>
      </c>
      <c r="J25" s="1" t="n">
        <f aca="false">J24+I25</f>
        <v>113480</v>
      </c>
      <c r="K25" s="1" t="n">
        <f aca="false">ROUND(stat_power_base*stat_power_growth^(A25-1)*F25*G25,0)</f>
        <v>673</v>
      </c>
      <c r="L25" s="1" t="n">
        <f aca="false">ROUND(stat_speed_base*stat_speed_growth^(A25-1)*F25*H25,0)</f>
        <v>129</v>
      </c>
      <c r="M25" s="1" t="n">
        <f aca="false">ROUND(stat_hp_base*stat_hp_growth^(A25-1)*F25,0)</f>
        <v>1880</v>
      </c>
      <c r="N25" s="1" t="n">
        <f aca="false">ROUND(K25*cp_w_power+L25*cp_w_speed+M25*cp_w_hp,0)</f>
        <v>2480</v>
      </c>
      <c r="O25" s="1" t="n">
        <f aca="false">IF(A25&lt;pack_unlock_level,pack_solo_size,ROUND(pack_base*pack_growth^(A25-pack_unlock_level),0))</f>
        <v>185</v>
      </c>
      <c r="P25" s="1" t="n">
        <f aca="false">IF(A25&lt;=4,stage_early,IF(A25&lt;=stage_mid_level,stage_mid,IF(A25&lt;=stage_late_level,stage_normal,stage_late)))</f>
        <v>1.25</v>
      </c>
      <c r="Q25" s="1" t="s">
        <v>80</v>
      </c>
    </row>
    <row r="26" customFormat="false" ht="15" hidden="false" customHeight="false" outlineLevel="0" collapsed="false">
      <c r="A26" s="1" t="n">
        <v>21</v>
      </c>
      <c r="B26" s="1" t="s">
        <v>81</v>
      </c>
      <c r="C26" s="1" t="s">
        <v>82</v>
      </c>
      <c r="D26" s="1" t="s">
        <v>79</v>
      </c>
      <c r="E26" s="1" t="n">
        <v>70</v>
      </c>
      <c r="F26" s="1" t="n">
        <f aca="false">IF(D26="Haqiqiy",class_real,IF(D26="Qadimgi",class_ancient,class_myth))</f>
        <v>1.35</v>
      </c>
      <c r="G26" s="3" t="n">
        <v>1.4</v>
      </c>
      <c r="H26" s="3" t="n">
        <v>0.9</v>
      </c>
      <c r="I26" s="1" t="n">
        <f aca="false">ROUND(xp_base*xp_growth^(A26-2)*P26,-1)</f>
        <v>45470</v>
      </c>
      <c r="J26" s="1" t="n">
        <f aca="false">J25+I26</f>
        <v>158950</v>
      </c>
      <c r="K26" s="1" t="n">
        <f aca="false">ROUND(stat_power_base*stat_power_growth^(A26-1)*F26*G26,0)</f>
        <v>869</v>
      </c>
      <c r="L26" s="1" t="n">
        <f aca="false">ROUND(stat_speed_base*stat_speed_growth^(A26-1)*F26*H26,0)</f>
        <v>140</v>
      </c>
      <c r="M26" s="1" t="n">
        <f aca="false">ROUND(stat_hp_base*stat_hp_growth^(A26-1)*F26,0)</f>
        <v>2219</v>
      </c>
      <c r="N26" s="1" t="n">
        <f aca="false">ROUND(K26*cp_w_power+L26*cp_w_speed+M26*cp_w_hp,0)</f>
        <v>3058</v>
      </c>
      <c r="O26" s="1" t="n">
        <f aca="false">IF(A26&lt;pack_unlock_level,pack_solo_size,ROUND(pack_base*pack_growth^(A26-pack_unlock_level),0))</f>
        <v>222</v>
      </c>
      <c r="P26" s="1" t="n">
        <f aca="false">IF(A26&lt;=4,stage_early,IF(A26&lt;=stage_mid_level,stage_mid,IF(A26&lt;=stage_late_level,stage_normal,stage_late)))</f>
        <v>1.25</v>
      </c>
      <c r="Q26" s="1" t="s">
        <v>83</v>
      </c>
    </row>
    <row r="27" customFormat="false" ht="15" hidden="false" customHeight="false" outlineLevel="0" collapsed="false">
      <c r="A27" s="1" t="n">
        <v>22</v>
      </c>
      <c r="B27" s="1" t="s">
        <v>84</v>
      </c>
      <c r="C27" s="1" t="s">
        <v>85</v>
      </c>
      <c r="D27" s="1" t="s">
        <v>86</v>
      </c>
      <c r="E27" s="1"/>
      <c r="F27" s="1" t="n">
        <f aca="false">IF(D27="Haqiqiy",class_real,IF(D27="Qadimgi",class_ancient,class_myth))</f>
        <v>1.8</v>
      </c>
      <c r="G27" s="3" t="n">
        <v>1.5</v>
      </c>
      <c r="H27" s="3" t="n">
        <v>1</v>
      </c>
      <c r="I27" s="1" t="n">
        <f aca="false">ROUND(xp_base*xp_growth^(A27-2)*P27,-1)</f>
        <v>62750</v>
      </c>
      <c r="J27" s="1" t="n">
        <f aca="false">J26+I27</f>
        <v>221700</v>
      </c>
      <c r="K27" s="1" t="n">
        <f aca="false">ROUND(stat_power_base*stat_power_growth^(A27-1)*F27*G27,0)</f>
        <v>1491</v>
      </c>
      <c r="L27" s="1" t="n">
        <f aca="false">ROUND(stat_speed_base*stat_speed_growth^(A27-1)*F27*H27,0)</f>
        <v>234</v>
      </c>
      <c r="M27" s="1" t="n">
        <f aca="false">ROUND(stat_hp_base*stat_hp_growth^(A27-1)*F27,0)</f>
        <v>3491</v>
      </c>
      <c r="N27" s="1" t="n">
        <f aca="false">ROUND(K27*cp_w_power+L27*cp_w_speed+M27*cp_w_hp,0)</f>
        <v>5079</v>
      </c>
      <c r="O27" s="1" t="n">
        <f aca="false">IF(A27&lt;pack_unlock_level,pack_solo_size,ROUND(pack_base*pack_growth^(A27-pack_unlock_level),0))</f>
        <v>266</v>
      </c>
      <c r="P27" s="1" t="n">
        <f aca="false">IF(A27&lt;=4,stage_early,IF(A27&lt;=stage_mid_level,stage_mid,IF(A27&lt;=stage_late_level,stage_normal,stage_late)))</f>
        <v>1.25</v>
      </c>
      <c r="Q27" s="1" t="s">
        <v>87</v>
      </c>
    </row>
    <row r="28" customFormat="false" ht="15" hidden="false" customHeight="false" outlineLevel="0" collapsed="false">
      <c r="A28" s="1" t="n">
        <v>23</v>
      </c>
      <c r="B28" s="1" t="s">
        <v>88</v>
      </c>
      <c r="C28" s="1" t="s">
        <v>89</v>
      </c>
      <c r="D28" s="1" t="s">
        <v>86</v>
      </c>
      <c r="E28" s="1"/>
      <c r="F28" s="1" t="n">
        <f aca="false">IF(D28="Haqiqiy",class_real,IF(D28="Qadimgi",class_ancient,class_myth))</f>
        <v>1.8</v>
      </c>
      <c r="G28" s="3" t="n">
        <v>1.6</v>
      </c>
      <c r="H28" s="3" t="n">
        <v>1.1</v>
      </c>
      <c r="I28" s="1" t="n">
        <f aca="false">ROUND(xp_base*xp_growth^(A28-2)*P28,-1)</f>
        <v>86590</v>
      </c>
      <c r="J28" s="1" t="n">
        <f aca="false">J27+I28</f>
        <v>308290</v>
      </c>
      <c r="K28" s="1" t="n">
        <f aca="false">ROUND(stat_power_base*stat_power_growth^(A28-1)*F28*G28,0)</f>
        <v>1908</v>
      </c>
      <c r="L28" s="1" t="n">
        <f aca="false">ROUND(stat_speed_base*stat_speed_growth^(A28-1)*F28*H28,0)</f>
        <v>291</v>
      </c>
      <c r="M28" s="1" t="n">
        <f aca="false">ROUND(stat_hp_base*stat_hp_growth^(A28-1)*F28,0)</f>
        <v>4119</v>
      </c>
      <c r="N28" s="1" t="n">
        <f aca="false">ROUND(K28*cp_w_power+L28*cp_w_speed+M28*cp_w_hp,0)</f>
        <v>6312</v>
      </c>
      <c r="O28" s="1" t="n">
        <f aca="false">IF(A28&lt;pack_unlock_level,pack_solo_size,ROUND(pack_base*pack_growth^(A28-pack_unlock_level),0))</f>
        <v>319</v>
      </c>
      <c r="P28" s="1" t="n">
        <f aca="false">IF(A28&lt;=4,stage_early,IF(A28&lt;=stage_mid_level,stage_mid,IF(A28&lt;=stage_late_level,stage_normal,stage_late)))</f>
        <v>1.25</v>
      </c>
      <c r="Q28" s="1" t="s">
        <v>90</v>
      </c>
    </row>
    <row r="29" customFormat="false" ht="15" hidden="false" customHeight="false" outlineLevel="0" collapsed="false">
      <c r="A29" s="1" t="n">
        <v>24</v>
      </c>
      <c r="B29" s="1" t="s">
        <v>91</v>
      </c>
      <c r="C29" s="1" t="s">
        <v>89</v>
      </c>
      <c r="D29" s="1" t="s">
        <v>86</v>
      </c>
      <c r="E29" s="1"/>
      <c r="F29" s="1" t="n">
        <f aca="false">IF(D29="Haqiqiy",class_real,IF(D29="Qadimgi",class_ancient,class_myth))</f>
        <v>1.8</v>
      </c>
      <c r="G29" s="3" t="n">
        <v>1.8</v>
      </c>
      <c r="H29" s="3" t="n">
        <v>0.95</v>
      </c>
      <c r="I29" s="1" t="n">
        <f aca="false">ROUND(xp_base*xp_growth^(A29-2)*P29,-1)</f>
        <v>119490</v>
      </c>
      <c r="J29" s="1" t="n">
        <f aca="false">J28+I29</f>
        <v>427780</v>
      </c>
      <c r="K29" s="1" t="n">
        <f aca="false">ROUND(stat_power_base*stat_power_growth^(A29-1)*F29*G29,0)</f>
        <v>2576</v>
      </c>
      <c r="L29" s="1" t="n">
        <f aca="false">ROUND(stat_speed_base*stat_speed_growth^(A29-1)*F29*H29,0)</f>
        <v>284</v>
      </c>
      <c r="M29" s="1" t="n">
        <f aca="false">ROUND(stat_hp_base*stat_hp_growth^(A29-1)*F29,0)</f>
        <v>4861</v>
      </c>
      <c r="N29" s="1" t="n">
        <f aca="false">ROUND(K29*cp_w_power+L29*cp_w_speed+M29*cp_w_hp,0)</f>
        <v>8009</v>
      </c>
      <c r="O29" s="1" t="n">
        <f aca="false">IF(A29&lt;pack_unlock_level,pack_solo_size,ROUND(pack_base*pack_growth^(A29-pack_unlock_level),0))</f>
        <v>383</v>
      </c>
      <c r="P29" s="1" t="n">
        <f aca="false">IF(A29&lt;=4,stage_early,IF(A29&lt;=stage_mid_level,stage_mid,IF(A29&lt;=stage_late_level,stage_normal,stage_late)))</f>
        <v>1.25</v>
      </c>
      <c r="Q29" s="1" t="s">
        <v>92</v>
      </c>
    </row>
    <row r="30" customFormat="false" ht="15" hidden="false" customHeight="false" outlineLevel="0" collapsed="false">
      <c r="A30" s="1" t="n">
        <v>25</v>
      </c>
      <c r="B30" s="1" t="s">
        <v>93</v>
      </c>
      <c r="C30" s="1" t="s">
        <v>94</v>
      </c>
      <c r="D30" s="1" t="s">
        <v>86</v>
      </c>
      <c r="E30" s="1"/>
      <c r="F30" s="1" t="n">
        <f aca="false">IF(D30="Haqiqiy",class_real,IF(D30="Qadimgi",class_ancient,class_myth))</f>
        <v>1.8</v>
      </c>
      <c r="G30" s="3" t="n">
        <v>2</v>
      </c>
      <c r="H30" s="3" t="n">
        <v>1.05</v>
      </c>
      <c r="I30" s="1" t="n">
        <f aca="false">ROUND(xp_base*xp_growth^(A30-2)*P30,-1)</f>
        <v>164900</v>
      </c>
      <c r="J30" s="1" t="n">
        <f aca="false">J29+I30</f>
        <v>592680</v>
      </c>
      <c r="K30" s="1" t="n">
        <f aca="false">ROUND(stat_power_base*stat_power_growth^(A30-1)*F30*G30,0)</f>
        <v>3434</v>
      </c>
      <c r="L30" s="1" t="n">
        <f aca="false">ROUND(stat_speed_base*stat_speed_growth^(A30-1)*F30*H30,0)</f>
        <v>355</v>
      </c>
      <c r="M30" s="1" t="n">
        <f aca="false">ROUND(stat_hp_base*stat_hp_growth^(A30-1)*F30,0)</f>
        <v>5736</v>
      </c>
      <c r="N30" s="1" t="n">
        <f aca="false">ROUND(K30*cp_w_power+L30*cp_w_speed+M30*cp_w_hp,0)</f>
        <v>10269</v>
      </c>
      <c r="O30" s="1" t="n">
        <f aca="false">IF(A30&lt;pack_unlock_level,pack_solo_size,ROUND(pack_base*pack_growth^(A30-pack_unlock_level),0))</f>
        <v>460</v>
      </c>
      <c r="P30" s="1" t="n">
        <f aca="false">IF(A30&lt;=4,stage_early,IF(A30&lt;=stage_mid_level,stage_mid,IF(A30&lt;=stage_late_level,stage_normal,stage_late)))</f>
        <v>1.25</v>
      </c>
      <c r="Q30" s="1" t="s">
        <v>95</v>
      </c>
    </row>
    <row r="31" customFormat="false" ht="15" hidden="false" customHeight="false" outlineLevel="0" collapsed="false">
      <c r="A31" s="1"/>
      <c r="B31" s="1" t="s">
        <v>96</v>
      </c>
      <c r="C31" s="1"/>
      <c r="D31" s="1"/>
      <c r="E31" s="1"/>
      <c r="F31" s="1"/>
      <c r="G31" s="1"/>
      <c r="H31" s="1"/>
      <c r="I31" s="1"/>
      <c r="J31" s="1" t="n">
        <f aca="false">J30</f>
        <v>592680</v>
      </c>
    </row>
    <row r="32" customFormat="false" ht="15" hidden="false" customHeight="false" outlineLevel="0" collapsed="false">
      <c r="A32" s="1" t="s">
        <v>97</v>
      </c>
    </row>
    <row r="33" customFormat="false" ht="15" hidden="false" customHeight="false" outlineLevel="0" collapsed="false">
      <c r="A33" s="1" t="s">
        <v>98</v>
      </c>
    </row>
    <row r="34" customFormat="false" ht="15" hidden="false" customHeight="false" outlineLevel="0" collapsed="false">
      <c r="A34" s="1" t="s">
        <v>99</v>
      </c>
    </row>
    <row r="35" customFormat="false" ht="15" hidden="false" customHeight="false" outlineLevel="0" collapsed="false">
      <c r="A35" s="1" t="s">
        <v>100</v>
      </c>
    </row>
    <row r="36" customFormat="false" ht="15" hidden="false" customHeight="false" outlineLevel="0" collapsed="false">
      <c r="A36" s="1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3" customFormat="false" ht="15" hidden="false" customHeight="false" outlineLevel="0" collapsed="false">
      <c r="A3" s="1" t="s">
        <v>102</v>
      </c>
    </row>
    <row r="4" customFormat="false" ht="15" hidden="false" customHeight="false" outlineLevel="0" collapsed="false">
      <c r="A4" s="1" t="s">
        <v>103</v>
      </c>
    </row>
    <row r="5" customFormat="false" ht="15" hidden="false" customHeight="false" outlineLevel="0" collapsed="false">
      <c r="A5" s="2" t="s">
        <v>2</v>
      </c>
      <c r="B5" s="2" t="s">
        <v>3</v>
      </c>
      <c r="C5" s="2" t="s">
        <v>104</v>
      </c>
      <c r="D5" s="2" t="s">
        <v>16</v>
      </c>
      <c r="E5" s="2" t="s">
        <v>105</v>
      </c>
      <c r="F5" s="2" t="s">
        <v>106</v>
      </c>
      <c r="G5" s="2" t="s">
        <v>107</v>
      </c>
      <c r="H5" s="2" t="s">
        <v>108</v>
      </c>
      <c r="I5" s="2" t="s">
        <v>109</v>
      </c>
      <c r="J5" s="2" t="s">
        <v>110</v>
      </c>
      <c r="K5" s="2" t="s">
        <v>111</v>
      </c>
      <c r="L5" s="2" t="s">
        <v>112</v>
      </c>
    </row>
    <row r="6" customFormat="false" ht="15" hidden="false" customHeight="false" outlineLevel="0" collapsed="false">
      <c r="A6" s="1" t="n">
        <v>1</v>
      </c>
      <c r="B6" s="1" t="str">
        <f aca="false">Darajalar!B6</f>
        <v>Honsyu boʻrisi</v>
      </c>
      <c r="C6" s="1" t="n">
        <f aca="false">need_base+need_growth*(A6-1)</f>
        <v>0.6</v>
      </c>
      <c r="D6" s="1" t="n">
        <f aca="false">Darajalar!O6</f>
        <v>1</v>
      </c>
      <c r="E6" s="1" t="n">
        <f aca="false">ROUND(C6*D6,0)</f>
        <v>1</v>
      </c>
      <c r="F6" s="1" t="n">
        <f aca="false">ROUND((water_need_base+water_need_growth*(A6-1))*D6,0)</f>
        <v>0</v>
      </c>
      <c r="G6" s="1" t="n">
        <f aca="false">IF(A6&gt;=moonlight_need_level,moonlight_need*D6,0)</f>
        <v>0</v>
      </c>
      <c r="H6" s="1" t="s">
        <v>113</v>
      </c>
      <c r="I6" s="3" t="n">
        <v>0.5</v>
      </c>
      <c r="J6" s="1" t="n">
        <f aca="false">ROUNDUP(E6/I6,0)</f>
        <v>2</v>
      </c>
      <c r="K6" s="1" t="n">
        <f aca="false">reserve_days*E6</f>
        <v>3</v>
      </c>
      <c r="L6" s="1" t="n">
        <f aca="false">MAX(1,ROUNDUP(LN(K6/store_base)/LN(store_growth),0)+1)</f>
        <v>1</v>
      </c>
    </row>
    <row r="7" customFormat="false" ht="15" hidden="false" customHeight="false" outlineLevel="0" collapsed="false">
      <c r="A7" s="1" t="n">
        <v>2</v>
      </c>
      <c r="B7" s="1" t="str">
        <f aca="false">Darajalar!B7</f>
        <v>Efiopiya boʻrisi</v>
      </c>
      <c r="C7" s="1" t="n">
        <f aca="false">need_base+need_growth*(A7-1)</f>
        <v>0.7</v>
      </c>
      <c r="D7" s="1" t="n">
        <f aca="false">Darajalar!O7</f>
        <v>1</v>
      </c>
      <c r="E7" s="1" t="n">
        <f aca="false">ROUND(C7*D7,0)</f>
        <v>1</v>
      </c>
      <c r="F7" s="1" t="n">
        <f aca="false">ROUND((water_need_base+water_need_growth*(A7-1))*D7,0)</f>
        <v>0</v>
      </c>
      <c r="G7" s="1" t="n">
        <f aca="false">IF(A7&gt;=moonlight_need_level,moonlight_need*D7,0)</f>
        <v>0</v>
      </c>
      <c r="H7" s="1" t="s">
        <v>114</v>
      </c>
      <c r="I7" s="3" t="n">
        <v>1</v>
      </c>
      <c r="J7" s="1" t="n">
        <f aca="false">ROUNDUP(E7/I7,0)</f>
        <v>1</v>
      </c>
      <c r="K7" s="1" t="n">
        <f aca="false">reserve_days*E7</f>
        <v>3</v>
      </c>
      <c r="L7" s="1" t="n">
        <f aca="false">MAX(1,ROUNDUP(LN(K7/store_base)/LN(store_growth),0)+1)</f>
        <v>1</v>
      </c>
    </row>
    <row r="8" customFormat="false" ht="15" hidden="false" customHeight="false" outlineLevel="0" collapsed="false">
      <c r="A8" s="1" t="n">
        <v>3</v>
      </c>
      <c r="B8" s="1" t="str">
        <f aca="false">Darajalar!B8</f>
        <v>Arab boʻrisi</v>
      </c>
      <c r="C8" s="1" t="n">
        <f aca="false">need_base+need_growth*(A8-1)</f>
        <v>0.8</v>
      </c>
      <c r="D8" s="1" t="n">
        <f aca="false">Darajalar!O8</f>
        <v>1</v>
      </c>
      <c r="E8" s="1" t="n">
        <f aca="false">ROUND(C8*D8,0)</f>
        <v>1</v>
      </c>
      <c r="F8" s="1" t="n">
        <f aca="false">ROUND((water_need_base+water_need_growth*(A8-1))*D8,0)</f>
        <v>0</v>
      </c>
      <c r="G8" s="1" t="n">
        <f aca="false">IF(A8&gt;=moonlight_need_level,moonlight_need*D8,0)</f>
        <v>0</v>
      </c>
      <c r="H8" s="1" t="s">
        <v>115</v>
      </c>
      <c r="I8" s="3" t="n">
        <v>2</v>
      </c>
      <c r="J8" s="1" t="n">
        <f aca="false">ROUNDUP(E8/I8,0)</f>
        <v>1</v>
      </c>
      <c r="K8" s="1" t="n">
        <f aca="false">reserve_days*E8</f>
        <v>3</v>
      </c>
      <c r="L8" s="1" t="n">
        <f aca="false">MAX(1,ROUNDUP(LN(K8/store_base)/LN(store_growth),0)+1)</f>
        <v>1</v>
      </c>
    </row>
    <row r="9" customFormat="false" ht="15" hidden="false" customHeight="false" outlineLevel="0" collapsed="false">
      <c r="A9" s="1" t="n">
        <v>4</v>
      </c>
      <c r="B9" s="1" t="str">
        <f aca="false">Darajalar!B9</f>
        <v>Hind boʻrisi</v>
      </c>
      <c r="C9" s="1" t="n">
        <f aca="false">need_base+need_growth*(A9-1)</f>
        <v>0.9</v>
      </c>
      <c r="D9" s="1" t="n">
        <f aca="false">Darajalar!O9</f>
        <v>10</v>
      </c>
      <c r="E9" s="1" t="n">
        <f aca="false">ROUND(C9*D9,0)</f>
        <v>9</v>
      </c>
      <c r="F9" s="1" t="n">
        <f aca="false">ROUND((water_need_base+water_need_growth*(A9-1))*D9,0)</f>
        <v>5</v>
      </c>
      <c r="G9" s="1" t="n">
        <f aca="false">IF(A9&gt;=moonlight_need_level,moonlight_need*D9,0)</f>
        <v>0</v>
      </c>
      <c r="H9" s="1" t="s">
        <v>116</v>
      </c>
      <c r="I9" s="3" t="n">
        <v>8</v>
      </c>
      <c r="J9" s="1" t="n">
        <f aca="false">ROUNDUP(E9/I9,0)</f>
        <v>2</v>
      </c>
      <c r="K9" s="1" t="n">
        <f aca="false">reserve_days*E9</f>
        <v>27</v>
      </c>
      <c r="L9" s="1" t="n">
        <f aca="false">MAX(1,ROUNDUP(LN(K9/store_base)/LN(store_growth),0)+1)</f>
        <v>1</v>
      </c>
    </row>
    <row r="10" customFormat="false" ht="15" hidden="false" customHeight="false" outlineLevel="0" collapsed="false">
      <c r="A10" s="1" t="n">
        <v>5</v>
      </c>
      <c r="B10" s="1" t="str">
        <f aca="false">Darajalar!B10</f>
        <v>Qizil boʻri</v>
      </c>
      <c r="C10" s="1" t="n">
        <f aca="false">need_base+need_growth*(A10-1)</f>
        <v>1</v>
      </c>
      <c r="D10" s="1" t="n">
        <f aca="false">Darajalar!O10</f>
        <v>12</v>
      </c>
      <c r="E10" s="1" t="n">
        <f aca="false">ROUND(C10*D10,0)</f>
        <v>12</v>
      </c>
      <c r="F10" s="1" t="n">
        <f aca="false">ROUND((water_need_base+water_need_growth*(A10-1))*D10,0)</f>
        <v>7</v>
      </c>
      <c r="G10" s="1" t="n">
        <f aca="false">IF(A10&gt;=moonlight_need_level,moonlight_need*D10,0)</f>
        <v>0</v>
      </c>
      <c r="H10" s="1" t="s">
        <v>117</v>
      </c>
      <c r="I10" s="3" t="n">
        <v>25</v>
      </c>
      <c r="J10" s="1" t="n">
        <f aca="false">ROUNDUP(E10/I10,0)</f>
        <v>1</v>
      </c>
      <c r="K10" s="1" t="n">
        <f aca="false">reserve_days*E10</f>
        <v>36</v>
      </c>
      <c r="L10" s="1" t="n">
        <f aca="false">MAX(1,ROUNDUP(LN(K10/store_base)/LN(store_growth),0)+1)</f>
        <v>1</v>
      </c>
    </row>
    <row r="11" customFormat="false" ht="15" hidden="false" customHeight="false" outlineLevel="0" collapsed="false">
      <c r="A11" s="1" t="n">
        <v>6</v>
      </c>
      <c r="B11" s="1" t="str">
        <f aca="false">Darajalar!B11</f>
        <v>Italyan boʻrisi</v>
      </c>
      <c r="C11" s="1" t="n">
        <f aca="false">need_base+need_growth*(A11-1)</f>
        <v>1.1</v>
      </c>
      <c r="D11" s="1" t="n">
        <f aca="false">Darajalar!O11</f>
        <v>14</v>
      </c>
      <c r="E11" s="1" t="n">
        <f aca="false">ROUND(C11*D11,0)</f>
        <v>15</v>
      </c>
      <c r="F11" s="1" t="n">
        <f aca="false">ROUND((water_need_base+water_need_growth*(A11-1))*D11,0)</f>
        <v>8</v>
      </c>
      <c r="G11" s="1" t="n">
        <f aca="false">IF(A11&gt;=moonlight_need_level,moonlight_need*D11,0)</f>
        <v>0</v>
      </c>
      <c r="H11" s="1" t="s">
        <v>117</v>
      </c>
      <c r="I11" s="3" t="n">
        <v>25</v>
      </c>
      <c r="J11" s="1" t="n">
        <f aca="false">ROUNDUP(E11/I11,0)</f>
        <v>1</v>
      </c>
      <c r="K11" s="1" t="n">
        <f aca="false">reserve_days*E11</f>
        <v>45</v>
      </c>
      <c r="L11" s="1" t="n">
        <f aca="false">MAX(1,ROUNDUP(LN(K11/store_base)/LN(store_growth),0)+1)</f>
        <v>2</v>
      </c>
    </row>
    <row r="12" customFormat="false" ht="15" hidden="false" customHeight="false" outlineLevel="0" collapsed="false">
      <c r="A12" s="1" t="n">
        <v>7</v>
      </c>
      <c r="B12" s="1" t="str">
        <f aca="false">Darajalar!B12</f>
        <v>Meksika boʻrisi</v>
      </c>
      <c r="C12" s="1" t="n">
        <f aca="false">need_base+need_growth*(A12-1)</f>
        <v>1.2</v>
      </c>
      <c r="D12" s="1" t="n">
        <f aca="false">Darajalar!O12</f>
        <v>17</v>
      </c>
      <c r="E12" s="1" t="n">
        <f aca="false">ROUND(C12*D12,0)</f>
        <v>20</v>
      </c>
      <c r="F12" s="1" t="n">
        <f aca="false">ROUND((water_need_base+water_need_growth*(A12-1))*D12,0)</f>
        <v>11</v>
      </c>
      <c r="G12" s="1" t="n">
        <f aca="false">IF(A12&gt;=moonlight_need_level,moonlight_need*D12,0)</f>
        <v>0</v>
      </c>
      <c r="H12" s="1" t="s">
        <v>118</v>
      </c>
      <c r="I12" s="3" t="n">
        <v>50</v>
      </c>
      <c r="J12" s="1" t="n">
        <f aca="false">ROUNDUP(E12/I12,0)</f>
        <v>1</v>
      </c>
      <c r="K12" s="1" t="n">
        <f aca="false">reserve_days*E12</f>
        <v>60</v>
      </c>
      <c r="L12" s="1" t="n">
        <f aca="false">MAX(1,ROUNDUP(LN(K12/store_base)/LN(store_growth),0)+1)</f>
        <v>4</v>
      </c>
    </row>
    <row r="13" customFormat="false" ht="15" hidden="false" customHeight="false" outlineLevel="0" collapsed="false">
      <c r="A13" s="1" t="n">
        <v>8</v>
      </c>
      <c r="B13" s="1" t="str">
        <f aca="false">Darajalar!B13</f>
        <v>Sharqiy boʻri</v>
      </c>
      <c r="C13" s="1" t="n">
        <f aca="false">need_base+need_growth*(A13-1)</f>
        <v>1.3</v>
      </c>
      <c r="D13" s="1" t="n">
        <f aca="false">Darajalar!O13</f>
        <v>21</v>
      </c>
      <c r="E13" s="1" t="n">
        <f aca="false">ROUND(C13*D13,0)</f>
        <v>27</v>
      </c>
      <c r="F13" s="1" t="n">
        <f aca="false">ROUND((water_need_base+water_need_growth*(A13-1))*D13,0)</f>
        <v>14</v>
      </c>
      <c r="G13" s="1" t="n">
        <f aca="false">IF(A13&gt;=moonlight_need_level,moonlight_need*D13,0)</f>
        <v>0</v>
      </c>
      <c r="H13" s="1" t="s">
        <v>118</v>
      </c>
      <c r="I13" s="3" t="n">
        <v>50</v>
      </c>
      <c r="J13" s="1" t="n">
        <f aca="false">ROUNDUP(E13/I13,0)</f>
        <v>1</v>
      </c>
      <c r="K13" s="1" t="n">
        <f aca="false">reserve_days*E13</f>
        <v>81</v>
      </c>
      <c r="L13" s="1" t="n">
        <f aca="false">MAX(1,ROUNDUP(LN(K13/store_base)/LN(store_growth),0)+1)</f>
        <v>5</v>
      </c>
    </row>
    <row r="14" customFormat="false" ht="15" hidden="false" customHeight="false" outlineLevel="0" collapsed="false">
      <c r="A14" s="1" t="n">
        <v>9</v>
      </c>
      <c r="B14" s="1" t="str">
        <f aca="false">Darajalar!B14</f>
        <v>Iberiya boʻrisi</v>
      </c>
      <c r="C14" s="1" t="n">
        <f aca="false">need_base+need_growth*(A14-1)</f>
        <v>1.4</v>
      </c>
      <c r="D14" s="1" t="n">
        <f aca="false">Darajalar!O14</f>
        <v>25</v>
      </c>
      <c r="E14" s="1" t="n">
        <f aca="false">ROUND(C14*D14,0)</f>
        <v>35</v>
      </c>
      <c r="F14" s="1" t="n">
        <f aca="false">ROUND((water_need_base+water_need_growth*(A14-1))*D14,0)</f>
        <v>18</v>
      </c>
      <c r="G14" s="1" t="n">
        <f aca="false">IF(A14&gt;=moonlight_need_level,moonlight_need*D14,0)</f>
        <v>0</v>
      </c>
      <c r="H14" s="1" t="s">
        <v>119</v>
      </c>
      <c r="I14" s="3" t="n">
        <v>60</v>
      </c>
      <c r="J14" s="1" t="n">
        <f aca="false">ROUNDUP(E14/I14,0)</f>
        <v>1</v>
      </c>
      <c r="K14" s="1" t="n">
        <f aca="false">reserve_days*E14</f>
        <v>105</v>
      </c>
      <c r="L14" s="1" t="n">
        <f aca="false">MAX(1,ROUNDUP(LN(K14/store_base)/LN(store_growth),0)+1)</f>
        <v>6</v>
      </c>
    </row>
    <row r="15" customFormat="false" ht="15" hidden="false" customHeight="false" outlineLevel="0" collapsed="false">
      <c r="A15" s="1" t="n">
        <v>10</v>
      </c>
      <c r="B15" s="1" t="str">
        <f aca="false">Darajalar!B15</f>
        <v>Dasht boʻrisi</v>
      </c>
      <c r="C15" s="1" t="n">
        <f aca="false">need_base+need_growth*(A15-1)</f>
        <v>1.5</v>
      </c>
      <c r="D15" s="1" t="n">
        <f aca="false">Darajalar!O15</f>
        <v>30</v>
      </c>
      <c r="E15" s="1" t="n">
        <f aca="false">ROUND(C15*D15,0)</f>
        <v>45</v>
      </c>
      <c r="F15" s="1" t="n">
        <f aca="false">ROUND((water_need_base+water_need_growth*(A15-1))*D15,0)</f>
        <v>23</v>
      </c>
      <c r="G15" s="1" t="n">
        <f aca="false">IF(A15&gt;=moonlight_need_level,moonlight_need*D15,0)</f>
        <v>0</v>
      </c>
      <c r="H15" s="1" t="s">
        <v>119</v>
      </c>
      <c r="I15" s="3" t="n">
        <v>60</v>
      </c>
      <c r="J15" s="1" t="n">
        <f aca="false">ROUNDUP(E15/I15,0)</f>
        <v>1</v>
      </c>
      <c r="K15" s="1" t="n">
        <f aca="false">reserve_days*E15</f>
        <v>135</v>
      </c>
      <c r="L15" s="1" t="n">
        <f aca="false">MAX(1,ROUNDUP(LN(K15/store_base)/LN(store_growth),0)+1)</f>
        <v>8</v>
      </c>
    </row>
    <row r="16" customFormat="false" ht="15" hidden="false" customHeight="false" outlineLevel="0" collapsed="false">
      <c r="A16" s="1" t="n">
        <v>11</v>
      </c>
      <c r="B16" s="1" t="str">
        <f aca="false">Darajalar!B16</f>
        <v>Himolay boʻrisi</v>
      </c>
      <c r="C16" s="1" t="n">
        <f aca="false">need_base+need_growth*(A16-1)</f>
        <v>1.6</v>
      </c>
      <c r="D16" s="1" t="n">
        <f aca="false">Darajalar!O16</f>
        <v>36</v>
      </c>
      <c r="E16" s="1" t="n">
        <f aca="false">ROUND(C16*D16,0)</f>
        <v>58</v>
      </c>
      <c r="F16" s="1" t="n">
        <f aca="false">ROUND((water_need_base+water_need_growth*(A16-1))*D16,0)</f>
        <v>29</v>
      </c>
      <c r="G16" s="1" t="n">
        <f aca="false">IF(A16&gt;=moonlight_need_level,moonlight_need*D16,0)</f>
        <v>0</v>
      </c>
      <c r="H16" s="1" t="s">
        <v>120</v>
      </c>
      <c r="I16" s="3" t="n">
        <v>100</v>
      </c>
      <c r="J16" s="1" t="n">
        <f aca="false">ROUNDUP(E16/I16,0)</f>
        <v>1</v>
      </c>
      <c r="K16" s="1" t="n">
        <f aca="false">reserve_days*E16</f>
        <v>174</v>
      </c>
      <c r="L16" s="1" t="n">
        <f aca="false">MAX(1,ROUNDUP(LN(K16/store_base)/LN(store_growth),0)+1)</f>
        <v>9</v>
      </c>
    </row>
    <row r="17" customFormat="false" ht="15" hidden="false" customHeight="false" outlineLevel="0" collapsed="false">
      <c r="A17" s="1" t="n">
        <v>12</v>
      </c>
      <c r="B17" s="1" t="str">
        <f aca="false">Darajalar!B17</f>
        <v>Ezo boʻrisi</v>
      </c>
      <c r="C17" s="1" t="n">
        <f aca="false">need_base+need_growth*(A17-1)</f>
        <v>1.7</v>
      </c>
      <c r="D17" s="1" t="n">
        <f aca="false">Darajalar!O17</f>
        <v>43</v>
      </c>
      <c r="E17" s="1" t="n">
        <f aca="false">ROUND(C17*D17,0)</f>
        <v>73</v>
      </c>
      <c r="F17" s="1" t="n">
        <f aca="false">ROUND((water_need_base+water_need_growth*(A17-1))*D17,0)</f>
        <v>36</v>
      </c>
      <c r="G17" s="1" t="n">
        <f aca="false">IF(A17&gt;=moonlight_need_level,moonlight_need*D17,0)</f>
        <v>0</v>
      </c>
      <c r="H17" s="1" t="s">
        <v>120</v>
      </c>
      <c r="I17" s="3" t="n">
        <v>100</v>
      </c>
      <c r="J17" s="1" t="n">
        <f aca="false">ROUNDUP(E17/I17,0)</f>
        <v>1</v>
      </c>
      <c r="K17" s="1" t="n">
        <f aca="false">reserve_days*E17</f>
        <v>219</v>
      </c>
      <c r="L17" s="1" t="n">
        <f aca="false">MAX(1,ROUNDUP(LN(K17/store_base)/LN(store_growth),0)+1)</f>
        <v>10</v>
      </c>
    </row>
    <row r="18" customFormat="false" ht="15" hidden="false" customHeight="false" outlineLevel="0" collapsed="false">
      <c r="A18" s="1" t="n">
        <v>13</v>
      </c>
      <c r="B18" s="1" t="str">
        <f aca="false">Darajalar!B18</f>
        <v>Tibet boʻrisi</v>
      </c>
      <c r="C18" s="1" t="n">
        <f aca="false">need_base+need_growth*(A18-1)</f>
        <v>1.8</v>
      </c>
      <c r="D18" s="1" t="n">
        <f aca="false">Darajalar!O18</f>
        <v>52</v>
      </c>
      <c r="E18" s="1" t="n">
        <f aca="false">ROUND(C18*D18,0)</f>
        <v>94</v>
      </c>
      <c r="F18" s="1" t="n">
        <f aca="false">ROUND((water_need_base+water_need_growth*(A18-1))*D18,0)</f>
        <v>46</v>
      </c>
      <c r="G18" s="1" t="n">
        <f aca="false">IF(A18&gt;=moonlight_need_level,moonlight_need*D18,0)</f>
        <v>0</v>
      </c>
      <c r="H18" s="1" t="s">
        <v>121</v>
      </c>
      <c r="I18" s="3" t="n">
        <v>120</v>
      </c>
      <c r="J18" s="1" t="n">
        <f aca="false">ROUNDUP(E18/I18,0)</f>
        <v>1</v>
      </c>
      <c r="K18" s="1" t="n">
        <f aca="false">reserve_days*E18</f>
        <v>282</v>
      </c>
      <c r="L18" s="1" t="n">
        <f aca="false">MAX(1,ROUNDUP(LN(K18/store_base)/LN(store_growth),0)+1)</f>
        <v>11</v>
      </c>
    </row>
    <row r="19" customFormat="false" ht="15" hidden="false" customHeight="false" outlineLevel="0" collapsed="false">
      <c r="A19" s="1" t="n">
        <v>14</v>
      </c>
      <c r="B19" s="1" t="str">
        <f aca="false">Darajalar!B19</f>
        <v>Arktika boʻrisi</v>
      </c>
      <c r="C19" s="1" t="n">
        <f aca="false">need_base+need_growth*(A19-1)</f>
        <v>1.9</v>
      </c>
      <c r="D19" s="1" t="n">
        <f aca="false">Darajalar!O19</f>
        <v>62</v>
      </c>
      <c r="E19" s="1" t="n">
        <f aca="false">ROUND(C19*D19,0)</f>
        <v>118</v>
      </c>
      <c r="F19" s="1" t="n">
        <f aca="false">ROUND((water_need_base+water_need_growth*(A19-1))*D19,0)</f>
        <v>57</v>
      </c>
      <c r="G19" s="1" t="n">
        <f aca="false">IF(A19&gt;=moonlight_need_level,moonlight_need*D19,0)</f>
        <v>0</v>
      </c>
      <c r="H19" s="1" t="s">
        <v>121</v>
      </c>
      <c r="I19" s="3" t="n">
        <v>120</v>
      </c>
      <c r="J19" s="1" t="n">
        <f aca="false">ROUNDUP(E19/I19,0)</f>
        <v>1</v>
      </c>
      <c r="K19" s="1" t="n">
        <f aca="false">reserve_days*E19</f>
        <v>354</v>
      </c>
      <c r="L19" s="1" t="n">
        <f aca="false">MAX(1,ROUNDUP(LN(K19/store_base)/LN(store_growth),0)+1)</f>
        <v>12</v>
      </c>
    </row>
    <row r="20" customFormat="false" ht="15" hidden="false" customHeight="false" outlineLevel="0" collapsed="false">
      <c r="A20" s="1" t="n">
        <v>15</v>
      </c>
      <c r="B20" s="1" t="str">
        <f aca="false">Darajalar!B20</f>
        <v>Buyuk tekislik boʻrisi</v>
      </c>
      <c r="C20" s="1" t="n">
        <f aca="false">need_base+need_growth*(A20-1)</f>
        <v>2</v>
      </c>
      <c r="D20" s="1" t="n">
        <f aca="false">Darajalar!O20</f>
        <v>74</v>
      </c>
      <c r="E20" s="1" t="n">
        <f aca="false">ROUND(C20*D20,0)</f>
        <v>148</v>
      </c>
      <c r="F20" s="1" t="n">
        <f aca="false">ROUND((water_need_base+water_need_growth*(A20-1))*D20,0)</f>
        <v>71</v>
      </c>
      <c r="G20" s="1" t="n">
        <f aca="false">IF(A20&gt;=moonlight_need_level,moonlight_need*D20,0)</f>
        <v>0</v>
      </c>
      <c r="H20" s="1" t="s">
        <v>122</v>
      </c>
      <c r="I20" s="3" t="n">
        <v>250</v>
      </c>
      <c r="J20" s="1" t="n">
        <f aca="false">ROUNDUP(E20/I20,0)</f>
        <v>1</v>
      </c>
      <c r="K20" s="1" t="n">
        <f aca="false">reserve_days*E20</f>
        <v>444</v>
      </c>
      <c r="L20" s="1" t="n">
        <f aca="false">MAX(1,ROUNDUP(LN(K20/store_base)/LN(store_growth),0)+1)</f>
        <v>14</v>
      </c>
    </row>
    <row r="21" customFormat="false" ht="15" hidden="false" customHeight="false" outlineLevel="0" collapsed="false">
      <c r="A21" s="1" t="n">
        <v>16</v>
      </c>
      <c r="B21" s="1" t="str">
        <f aca="false">Darajalar!B21</f>
        <v>Yevroosiyo kulrang boʻrisi</v>
      </c>
      <c r="C21" s="1" t="n">
        <f aca="false">need_base+need_growth*(A21-1)</f>
        <v>2.1</v>
      </c>
      <c r="D21" s="1" t="n">
        <f aca="false">Darajalar!O21</f>
        <v>89</v>
      </c>
      <c r="E21" s="1" t="n">
        <f aca="false">ROUND(C21*D21,0)</f>
        <v>187</v>
      </c>
      <c r="F21" s="1" t="n">
        <f aca="false">ROUND((water_need_base+water_need_growth*(A21-1))*D21,0)</f>
        <v>89</v>
      </c>
      <c r="G21" s="1" t="n">
        <f aca="false">IF(A21&gt;=moonlight_need_level,moonlight_need*D21,0)</f>
        <v>0</v>
      </c>
      <c r="H21" s="1" t="s">
        <v>122</v>
      </c>
      <c r="I21" s="3" t="n">
        <v>250</v>
      </c>
      <c r="J21" s="1" t="n">
        <f aca="false">ROUNDUP(E21/I21,0)</f>
        <v>1</v>
      </c>
      <c r="K21" s="1" t="n">
        <f aca="false">reserve_days*E21</f>
        <v>561</v>
      </c>
      <c r="L21" s="1" t="n">
        <f aca="false">MAX(1,ROUNDUP(LN(K21/store_base)/LN(store_growth),0)+1)</f>
        <v>15</v>
      </c>
    </row>
    <row r="22" customFormat="false" ht="15" hidden="false" customHeight="false" outlineLevel="0" collapsed="false">
      <c r="A22" s="1" t="n">
        <v>17</v>
      </c>
      <c r="B22" s="1" t="str">
        <f aca="false">Darajalar!B22</f>
        <v>Tundra boʻrisi</v>
      </c>
      <c r="C22" s="1" t="n">
        <f aca="false">need_base+need_growth*(A22-1)</f>
        <v>2.2</v>
      </c>
      <c r="D22" s="1" t="n">
        <f aca="false">Darajalar!O22</f>
        <v>107</v>
      </c>
      <c r="E22" s="1" t="n">
        <f aca="false">ROUND(C22*D22,0)</f>
        <v>235</v>
      </c>
      <c r="F22" s="1" t="n">
        <f aca="false">ROUND((water_need_base+water_need_growth*(A22-1))*D22,0)</f>
        <v>111</v>
      </c>
      <c r="G22" s="1" t="n">
        <f aca="false">IF(A22&gt;=moonlight_need_level,moonlight_need*D22,0)</f>
        <v>0</v>
      </c>
      <c r="H22" s="1" t="s">
        <v>123</v>
      </c>
      <c r="I22" s="3" t="n">
        <v>300</v>
      </c>
      <c r="J22" s="1" t="n">
        <f aca="false">ROUNDUP(E22/I22,0)</f>
        <v>1</v>
      </c>
      <c r="K22" s="1" t="n">
        <f aca="false">reserve_days*E22</f>
        <v>705</v>
      </c>
      <c r="L22" s="1" t="n">
        <f aca="false">MAX(1,ROUNDUP(LN(K22/store_base)/LN(store_growth),0)+1)</f>
        <v>16</v>
      </c>
    </row>
    <row r="23" customFormat="false" ht="15" hidden="false" customHeight="false" outlineLevel="0" collapsed="false">
      <c r="A23" s="1" t="n">
        <v>18</v>
      </c>
      <c r="B23" s="1" t="str">
        <f aca="false">Darajalar!B23</f>
        <v>Alyaska ichki boʻrisi</v>
      </c>
      <c r="C23" s="1" t="n">
        <f aca="false">need_base+need_growth*(A23-1)</f>
        <v>2.3</v>
      </c>
      <c r="D23" s="1" t="n">
        <f aca="false">Darajalar!O23</f>
        <v>128</v>
      </c>
      <c r="E23" s="1" t="n">
        <f aca="false">ROUND(C23*D23,0)</f>
        <v>294</v>
      </c>
      <c r="F23" s="1" t="n">
        <f aca="false">ROUND((water_need_base+water_need_growth*(A23-1))*D23,0)</f>
        <v>138</v>
      </c>
      <c r="G23" s="1" t="n">
        <f aca="false">IF(A23&gt;=moonlight_need_level,moonlight_need*D23,0)</f>
        <v>0</v>
      </c>
      <c r="H23" s="1" t="s">
        <v>123</v>
      </c>
      <c r="I23" s="3" t="n">
        <v>300</v>
      </c>
      <c r="J23" s="1" t="n">
        <f aca="false">ROUNDUP(E23/I23,0)</f>
        <v>1</v>
      </c>
      <c r="K23" s="1" t="n">
        <f aca="false">reserve_days*E23</f>
        <v>882</v>
      </c>
      <c r="L23" s="1" t="n">
        <f aca="false">MAX(1,ROUNDUP(LN(K23/store_base)/LN(store_growth),0)+1)</f>
        <v>17</v>
      </c>
    </row>
    <row r="24" customFormat="false" ht="15" hidden="false" customHeight="false" outlineLevel="0" collapsed="false">
      <c r="A24" s="1" t="n">
        <v>19</v>
      </c>
      <c r="B24" s="1" t="str">
        <f aca="false">Darajalar!B24</f>
        <v>Makkenzi vodiysi boʻrisi</v>
      </c>
      <c r="C24" s="1" t="n">
        <f aca="false">need_base+need_growth*(A24-1)</f>
        <v>2.4</v>
      </c>
      <c r="D24" s="1" t="n">
        <f aca="false">Darajalar!O24</f>
        <v>154</v>
      </c>
      <c r="E24" s="1" t="n">
        <f aca="false">ROUND(C24*D24,0)</f>
        <v>370</v>
      </c>
      <c r="F24" s="1" t="n">
        <f aca="false">ROUND((water_need_base+water_need_growth*(A24-1))*D24,0)</f>
        <v>172</v>
      </c>
      <c r="G24" s="1" t="n">
        <f aca="false">IF(A24&gt;=moonlight_need_level,moonlight_need*D24,0)</f>
        <v>0</v>
      </c>
      <c r="H24" s="1" t="s">
        <v>124</v>
      </c>
      <c r="I24" s="3" t="n">
        <v>500</v>
      </c>
      <c r="J24" s="1" t="n">
        <f aca="false">ROUNDUP(E24/I24,0)</f>
        <v>1</v>
      </c>
      <c r="K24" s="1" t="n">
        <f aca="false">reserve_days*E24</f>
        <v>1110</v>
      </c>
      <c r="L24" s="1" t="n">
        <f aca="false">MAX(1,ROUNDUP(LN(K24/store_base)/LN(store_growth),0)+1)</f>
        <v>18</v>
      </c>
    </row>
    <row r="25" customFormat="false" ht="15" hidden="false" customHeight="false" outlineLevel="0" collapsed="false">
      <c r="A25" s="1" t="n">
        <v>20</v>
      </c>
      <c r="B25" s="1" t="str">
        <f aca="false">Darajalar!B25</f>
        <v>Beringiya boʻrisi</v>
      </c>
      <c r="C25" s="1" t="n">
        <f aca="false">need_base+need_growth*(A25-1)</f>
        <v>2.5</v>
      </c>
      <c r="D25" s="1" t="n">
        <f aca="false">Darajalar!O25</f>
        <v>185</v>
      </c>
      <c r="E25" s="1" t="n">
        <f aca="false">ROUND(C25*D25,0)</f>
        <v>463</v>
      </c>
      <c r="F25" s="1" t="n">
        <f aca="false">ROUND((water_need_base+water_need_growth*(A25-1))*D25,0)</f>
        <v>215</v>
      </c>
      <c r="G25" s="1" t="n">
        <f aca="false">IF(A25&gt;=moonlight_need_level,moonlight_need*D25,0)</f>
        <v>37</v>
      </c>
      <c r="H25" s="1" t="s">
        <v>125</v>
      </c>
      <c r="I25" s="3" t="n">
        <v>800</v>
      </c>
      <c r="J25" s="1" t="n">
        <f aca="false">ROUNDUP(E25/I25,0)</f>
        <v>1</v>
      </c>
      <c r="K25" s="1" t="n">
        <f aca="false">reserve_days*E25</f>
        <v>1389</v>
      </c>
      <c r="L25" s="1" t="n">
        <f aca="false">MAX(1,ROUNDUP(LN(K25/store_base)/LN(store_growth),0)+1)</f>
        <v>19</v>
      </c>
    </row>
    <row r="26" customFormat="false" ht="15" hidden="false" customHeight="false" outlineLevel="0" collapsed="false">
      <c r="A26" s="1" t="n">
        <v>21</v>
      </c>
      <c r="B26" s="1" t="str">
        <f aca="false">Darajalar!B26</f>
        <v>Dahshatli boʻri</v>
      </c>
      <c r="C26" s="1" t="n">
        <f aca="false">need_base+need_growth*(A26-1)</f>
        <v>2.6</v>
      </c>
      <c r="D26" s="1" t="n">
        <f aca="false">Darajalar!O26</f>
        <v>222</v>
      </c>
      <c r="E26" s="1" t="n">
        <f aca="false">ROUND(C26*D26,0)</f>
        <v>577</v>
      </c>
      <c r="F26" s="1" t="n">
        <f aca="false">ROUND((water_need_base+water_need_growth*(A26-1))*D26,0)</f>
        <v>266</v>
      </c>
      <c r="G26" s="1" t="n">
        <f aca="false">IF(A26&gt;=moonlight_need_level,moonlight_need*D26,0)</f>
        <v>44.4</v>
      </c>
      <c r="H26" s="1" t="s">
        <v>126</v>
      </c>
      <c r="I26" s="3" t="n">
        <v>1200</v>
      </c>
      <c r="J26" s="1" t="n">
        <f aca="false">ROUNDUP(E26/I26,0)</f>
        <v>1</v>
      </c>
      <c r="K26" s="1" t="n">
        <f aca="false">reserve_days*E26</f>
        <v>1731</v>
      </c>
      <c r="L26" s="1" t="n">
        <f aca="false">MAX(1,ROUNDUP(LN(K26/store_base)/LN(store_growth),0)+1)</f>
        <v>20</v>
      </c>
    </row>
    <row r="27" customFormat="false" ht="15" hidden="false" customHeight="false" outlineLevel="0" collapsed="false">
      <c r="A27" s="1" t="n">
        <v>22</v>
      </c>
      <c r="B27" s="1" t="str">
        <f aca="false">Darajalar!B27</f>
        <v>Amarok</v>
      </c>
      <c r="C27" s="1" t="n">
        <f aca="false">need_base+need_growth*(A27-1)</f>
        <v>2.7</v>
      </c>
      <c r="D27" s="1" t="n">
        <f aca="false">Darajalar!O27</f>
        <v>266</v>
      </c>
      <c r="E27" s="1" t="n">
        <f aca="false">ROUND(C27*D27,0)</f>
        <v>718</v>
      </c>
      <c r="F27" s="1" t="n">
        <f aca="false">ROUND((water_need_base+water_need_growth*(A27-1))*D27,0)</f>
        <v>330</v>
      </c>
      <c r="G27" s="1" t="n">
        <f aca="false">IF(A27&gt;=moonlight_need_level,moonlight_need*D27,0)</f>
        <v>53.2</v>
      </c>
      <c r="H27" s="1" t="s">
        <v>127</v>
      </c>
      <c r="I27" s="3" t="n">
        <v>400</v>
      </c>
      <c r="J27" s="1" t="n">
        <f aca="false">ROUNDUP(E27/I27,0)</f>
        <v>2</v>
      </c>
      <c r="K27" s="1" t="n">
        <f aca="false">reserve_days*E27</f>
        <v>2154</v>
      </c>
      <c r="L27" s="1" t="n">
        <f aca="false">MAX(1,ROUNDUP(LN(K27/store_base)/LN(store_growth),0)+1)</f>
        <v>22</v>
      </c>
    </row>
    <row r="28" customFormat="false" ht="15" hidden="false" customHeight="false" outlineLevel="0" collapsed="false">
      <c r="A28" s="1" t="n">
        <v>23</v>
      </c>
      <c r="B28" s="1" t="str">
        <f aca="false">Darajalar!B28</f>
        <v>Geri va Freki</v>
      </c>
      <c r="C28" s="1" t="n">
        <f aca="false">need_base+need_growth*(A28-1)</f>
        <v>2.8</v>
      </c>
      <c r="D28" s="1" t="n">
        <f aca="false">Darajalar!O28</f>
        <v>319</v>
      </c>
      <c r="E28" s="1" t="n">
        <f aca="false">ROUND(C28*D28,0)</f>
        <v>893</v>
      </c>
      <c r="F28" s="1" t="n">
        <f aca="false">ROUND((water_need_base+water_need_growth*(A28-1))*D28,0)</f>
        <v>408</v>
      </c>
      <c r="G28" s="1" t="n">
        <f aca="false">IF(A28&gt;=moonlight_need_level,moonlight_need*D28,0)</f>
        <v>63.8</v>
      </c>
      <c r="H28" s="1" t="s">
        <v>127</v>
      </c>
      <c r="I28" s="3" t="n">
        <v>400</v>
      </c>
      <c r="J28" s="1" t="n">
        <f aca="false">ROUNDUP(E28/I28,0)</f>
        <v>3</v>
      </c>
      <c r="K28" s="1" t="n">
        <f aca="false">reserve_days*E28</f>
        <v>2679</v>
      </c>
      <c r="L28" s="1" t="n">
        <f aca="false">MAX(1,ROUNDUP(LN(K28/store_base)/LN(store_growth),0)+1)</f>
        <v>23</v>
      </c>
    </row>
    <row r="29" customFormat="false" ht="15" hidden="false" customHeight="false" outlineLevel="0" collapsed="false">
      <c r="A29" s="1" t="n">
        <v>24</v>
      </c>
      <c r="B29" s="1" t="str">
        <f aca="false">Darajalar!B29</f>
        <v>Fenrir</v>
      </c>
      <c r="C29" s="1" t="n">
        <f aca="false">need_base+need_growth*(A29-1)</f>
        <v>2.9</v>
      </c>
      <c r="D29" s="1" t="n">
        <f aca="false">Darajalar!O29</f>
        <v>383</v>
      </c>
      <c r="E29" s="1" t="n">
        <f aca="false">ROUND(C29*D29,0)</f>
        <v>1111</v>
      </c>
      <c r="F29" s="1" t="n">
        <f aca="false">ROUND((water_need_base+water_need_growth*(A29-1))*D29,0)</f>
        <v>506</v>
      </c>
      <c r="G29" s="1" t="n">
        <f aca="false">IF(A29&gt;=moonlight_need_level,moonlight_need*D29,0)</f>
        <v>76.6</v>
      </c>
      <c r="H29" s="1" t="s">
        <v>127</v>
      </c>
      <c r="I29" s="3" t="n">
        <v>400</v>
      </c>
      <c r="J29" s="1" t="n">
        <f aca="false">ROUNDUP(E29/I29,0)</f>
        <v>3</v>
      </c>
      <c r="K29" s="1" t="n">
        <f aca="false">reserve_days*E29</f>
        <v>3333</v>
      </c>
      <c r="L29" s="1" t="n">
        <f aca="false">MAX(1,ROUNDUP(LN(K29/store_base)/LN(store_growth),0)+1)</f>
        <v>24</v>
      </c>
    </row>
    <row r="30" customFormat="false" ht="15" hidden="false" customHeight="false" outlineLevel="0" collapsed="false">
      <c r="A30" s="1" t="n">
        <v>25</v>
      </c>
      <c r="B30" s="1" t="str">
        <f aca="false">Darajalar!B30</f>
        <v>Koʻk Boʻri</v>
      </c>
      <c r="C30" s="1" t="n">
        <f aca="false">need_base+need_growth*(A30-1)</f>
        <v>3</v>
      </c>
      <c r="D30" s="1" t="n">
        <f aca="false">Darajalar!O30</f>
        <v>460</v>
      </c>
      <c r="E30" s="1" t="n">
        <f aca="false">ROUND(C30*D30,0)</f>
        <v>1380</v>
      </c>
      <c r="F30" s="1" t="n">
        <f aca="false">ROUND((water_need_base+water_need_growth*(A30-1))*D30,0)</f>
        <v>626</v>
      </c>
      <c r="G30" s="1" t="n">
        <f aca="false">IF(A30&gt;=moonlight_need_level,moonlight_need*D30,0)</f>
        <v>92</v>
      </c>
      <c r="H30" s="1" t="s">
        <v>127</v>
      </c>
      <c r="I30" s="3" t="n">
        <v>400</v>
      </c>
      <c r="J30" s="1" t="n">
        <f aca="false">ROUNDUP(E30/I30,0)</f>
        <v>4</v>
      </c>
      <c r="K30" s="1" t="n">
        <f aca="false">reserve_days*E30</f>
        <v>4140</v>
      </c>
      <c r="L30" s="1" t="n">
        <f aca="false">MAX(1,ROUNDUP(LN(K30/store_base)/LN(store_growth),0)+1)</f>
        <v>25</v>
      </c>
    </row>
    <row r="31" customFormat="false" ht="15" hidden="false" customHeight="false" outlineLevel="0" collapsed="false">
      <c r="A31" s="1" t="s">
        <v>128</v>
      </c>
    </row>
    <row r="32" customFormat="false" ht="15" hidden="false" customHeight="false" outlineLevel="0" collapsed="false">
      <c r="A32" s="1" t="s">
        <v>129</v>
      </c>
    </row>
    <row r="33" customFormat="false" ht="15" hidden="false" customHeight="false" outlineLevel="0" collapsed="false">
      <c r="A33" s="1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I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3" customFormat="false" ht="15" hidden="false" customHeight="false" outlineLevel="0" collapsed="false">
      <c r="A3" s="1" t="s">
        <v>131</v>
      </c>
    </row>
    <row r="4" customFormat="false" ht="15" hidden="false" customHeight="false" outlineLevel="0" collapsed="false">
      <c r="A4" s="1" t="s">
        <v>132</v>
      </c>
    </row>
    <row r="5" customFormat="false" ht="15" hidden="false" customHeight="false" outlineLevel="0" collapsed="false">
      <c r="A5" s="1" t="s">
        <v>133</v>
      </c>
    </row>
    <row r="6" customFormat="false" ht="15" hidden="false" customHeight="false" outlineLevel="0" collapsed="false">
      <c r="A6" s="2" t="s">
        <v>2</v>
      </c>
      <c r="B6" s="2" t="s">
        <v>134</v>
      </c>
      <c r="C6" s="2" t="s">
        <v>135</v>
      </c>
      <c r="D6" s="2" t="s">
        <v>136</v>
      </c>
      <c r="E6" s="2" t="s">
        <v>137</v>
      </c>
      <c r="F6" s="2" t="s">
        <v>138</v>
      </c>
      <c r="G6" s="2" t="s">
        <v>139</v>
      </c>
      <c r="H6" s="2" t="s">
        <v>140</v>
      </c>
    </row>
    <row r="7" customFormat="false" ht="15" hidden="false" customHeight="false" outlineLevel="0" collapsed="false">
      <c r="A7" s="1" t="n">
        <v>1</v>
      </c>
      <c r="B7" s="1" t="n">
        <f aca="false">ROUND(store_base*store_growth^(A7-1),0)</f>
        <v>40</v>
      </c>
      <c r="C7" s="1" t="n">
        <f aca="false">ROUND(water_passive_base*water_passive_growth^(A7-1),1)</f>
        <v>0.3</v>
      </c>
      <c r="D7" s="1" t="n">
        <f aca="false">B7*offline_store_mult</f>
        <v>80</v>
      </c>
      <c r="E7" s="1" t="n">
        <f aca="false">cave_protect_base+cave_protect_growth*(A7-1)</f>
        <v>0.3</v>
      </c>
      <c r="F7" s="1" t="n">
        <f aca="false">IF(A7=1,0,ROUND(cost_food_cave_stone*1*cost_growth^(A7-2)*IF(A7&lt;=4,stage_early,IF(A7&lt;=stage_mid_level,stage_mid,IF(A7&lt;=stage_late_level,stage_normal,stage_late))),0))</f>
        <v>0</v>
      </c>
      <c r="G7" s="1" t="n">
        <f aca="false">IF(A7=1,0,ROUND(cost_food_cave_wood*1*cost_growth^(A7-2)*IF(A7&lt;=4,stage_early,IF(A7&lt;=stage_mid_level,stage_mid,IF(A7&lt;=stage_late_level,stage_normal,stage_late))),0))</f>
        <v>0</v>
      </c>
      <c r="H7" s="1" t="n">
        <f aca="false">IF(A7=1,0,ROUND(build_time_base_min*time_coef_food_cave*time_growth^(A7-2)*IF(A7&lt;=4,stage_early,IF(A7&lt;=stage_mid_level,stage_mid,IF(A7&lt;=stage_late_level,stage_normal,stage_late)))/60,1))</f>
        <v>0</v>
      </c>
    </row>
    <row r="8" customFormat="false" ht="15" hidden="false" customHeight="false" outlineLevel="0" collapsed="false">
      <c r="A8" s="1" t="n">
        <v>2</v>
      </c>
      <c r="B8" s="1" t="n">
        <f aca="false">ROUND(store_base*store_growth^(A8-1),0)</f>
        <v>49</v>
      </c>
      <c r="C8" s="1" t="n">
        <f aca="false">ROUND(water_passive_base*water_passive_growth^(A8-1),1)</f>
        <v>0.3</v>
      </c>
      <c r="D8" s="1" t="n">
        <f aca="false">B8*offline_store_mult</f>
        <v>98</v>
      </c>
      <c r="E8" s="1" t="n">
        <f aca="false">cave_protect_base+cave_protect_growth*(A8-1)</f>
        <v>0.32</v>
      </c>
      <c r="F8" s="1" t="n">
        <f aca="false">IF(A8=1,0,ROUND(cost_food_cave_stone*1*cost_growth^(A8-2)*IF(A8&lt;=4,stage_early,IF(A8&lt;=stage_mid_level,stage_mid,IF(A8&lt;=stage_late_level,stage_normal,stage_late))),0))</f>
        <v>40</v>
      </c>
      <c r="G8" s="1" t="n">
        <f aca="false">IF(A8=1,0,ROUND(cost_food_cave_wood*1*cost_growth^(A8-2)*IF(A8&lt;=4,stage_early,IF(A8&lt;=stage_mid_level,stage_mid,IF(A8&lt;=stage_late_level,stage_normal,stage_late))),0))</f>
        <v>24</v>
      </c>
      <c r="H8" s="1" t="n">
        <f aca="false">IF(A8=1,0,ROUND(build_time_base_min*time_coef_food_cave*time_growth^(A8-2)*IF(A8&lt;=4,stage_early,IF(A8&lt;=stage_mid_level,stage_mid,IF(A8&lt;=stage_late_level,stage_normal,stage_late)))/60,1))</f>
        <v>0.1</v>
      </c>
    </row>
    <row r="9" customFormat="false" ht="15" hidden="false" customHeight="false" outlineLevel="0" collapsed="false">
      <c r="A9" s="1" t="n">
        <v>3</v>
      </c>
      <c r="B9" s="1" t="n">
        <f aca="false">ROUND(store_base*store_growth^(A9-1),0)</f>
        <v>60</v>
      </c>
      <c r="C9" s="1" t="n">
        <f aca="false">ROUND(water_passive_base*water_passive_growth^(A9-1),1)</f>
        <v>0.4</v>
      </c>
      <c r="D9" s="1" t="n">
        <f aca="false">B9*offline_store_mult</f>
        <v>120</v>
      </c>
      <c r="E9" s="1" t="n">
        <f aca="false">cave_protect_base+cave_protect_growth*(A9-1)</f>
        <v>0.34</v>
      </c>
      <c r="F9" s="1" t="n">
        <f aca="false">IF(A9=1,0,ROUND(cost_food_cave_stone*1*cost_growth^(A9-2)*IF(A9&lt;=4,stage_early,IF(A9&lt;=stage_mid_level,stage_mid,IF(A9&lt;=stage_late_level,stage_normal,stage_late))),0))</f>
        <v>52</v>
      </c>
      <c r="G9" s="1" t="n">
        <f aca="false">IF(A9=1,0,ROUND(cost_food_cave_wood*1*cost_growth^(A9-2)*IF(A9&lt;=4,stage_early,IF(A9&lt;=stage_mid_level,stage_mid,IF(A9&lt;=stage_late_level,stage_normal,stage_late))),0))</f>
        <v>31</v>
      </c>
      <c r="H9" s="1" t="n">
        <f aca="false">IF(A9=1,0,ROUND(build_time_base_min*time_coef_food_cave*time_growth^(A9-2)*IF(A9&lt;=4,stage_early,IF(A9&lt;=stage_mid_level,stage_mid,IF(A9&lt;=stage_late_level,stage_normal,stage_late)))/60,1))</f>
        <v>0.1</v>
      </c>
    </row>
    <row r="10" customFormat="false" ht="15" hidden="false" customHeight="false" outlineLevel="0" collapsed="false">
      <c r="A10" s="1" t="n">
        <v>4</v>
      </c>
      <c r="B10" s="1" t="n">
        <f aca="false">ROUND(store_base*store_growth^(A10-1),0)</f>
        <v>73</v>
      </c>
      <c r="C10" s="1" t="n">
        <f aca="false">ROUND(water_passive_base*water_passive_growth^(A10-1),1)</f>
        <v>0.5</v>
      </c>
      <c r="D10" s="1" t="n">
        <f aca="false">B10*offline_store_mult</f>
        <v>146</v>
      </c>
      <c r="E10" s="1" t="n">
        <f aca="false">cave_protect_base+cave_protect_growth*(A10-1)</f>
        <v>0.36</v>
      </c>
      <c r="F10" s="1" t="n">
        <f aca="false">IF(A10=1,0,ROUND(cost_food_cave_stone*1*cost_growth^(A10-2)*IF(A10&lt;=4,stage_early,IF(A10&lt;=stage_mid_level,stage_mid,IF(A10&lt;=stage_late_level,stage_normal,stage_late))),0))</f>
        <v>68</v>
      </c>
      <c r="G10" s="1" t="n">
        <f aca="false">IF(A10=1,0,ROUND(cost_food_cave_wood*1*cost_growth^(A10-2)*IF(A10&lt;=4,stage_early,IF(A10&lt;=stage_mid_level,stage_mid,IF(A10&lt;=stage_late_level,stage_normal,stage_late))),0))</f>
        <v>41</v>
      </c>
      <c r="H10" s="1" t="n">
        <f aca="false">IF(A10=1,0,ROUND(build_time_base_min*time_coef_food_cave*time_growth^(A10-2)*IF(A10&lt;=4,stage_early,IF(A10&lt;=stage_mid_level,stage_mid,IF(A10&lt;=stage_late_level,stage_normal,stage_late)))/60,1))</f>
        <v>0.1</v>
      </c>
    </row>
    <row r="11" customFormat="false" ht="15" hidden="false" customHeight="false" outlineLevel="0" collapsed="false">
      <c r="A11" s="1" t="n">
        <v>5</v>
      </c>
      <c r="B11" s="1" t="n">
        <f aca="false">ROUND(store_base*store_growth^(A11-1),0)</f>
        <v>89</v>
      </c>
      <c r="C11" s="1" t="n">
        <f aca="false">ROUND(water_passive_base*water_passive_growth^(A11-1),1)</f>
        <v>0.6</v>
      </c>
      <c r="D11" s="1" t="n">
        <f aca="false">B11*offline_store_mult</f>
        <v>178</v>
      </c>
      <c r="E11" s="1" t="n">
        <f aca="false">cave_protect_base+cave_protect_growth*(A11-1)</f>
        <v>0.38</v>
      </c>
      <c r="F11" s="1" t="n">
        <f aca="false">IF(A11=1,0,ROUND(cost_food_cave_stone*1*cost_growth^(A11-2)*IF(A11&lt;=4,stage_early,IF(A11&lt;=stage_mid_level,stage_mid,IF(A11&lt;=stage_late_level,stage_normal,stage_late))),0))</f>
        <v>154</v>
      </c>
      <c r="G11" s="1" t="n">
        <f aca="false">IF(A11=1,0,ROUND(cost_food_cave_wood*1*cost_growth^(A11-2)*IF(A11&lt;=4,stage_early,IF(A11&lt;=stage_mid_level,stage_mid,IF(A11&lt;=stage_late_level,stage_normal,stage_late))),0))</f>
        <v>92</v>
      </c>
      <c r="H11" s="1" t="n">
        <f aca="false">IF(A11=1,0,ROUND(build_time_base_min*time_coef_food_cave*time_growth^(A11-2)*IF(A11&lt;=4,stage_early,IF(A11&lt;=stage_mid_level,stage_mid,IF(A11&lt;=stage_late_level,stage_normal,stage_late)))/60,1))</f>
        <v>0.2</v>
      </c>
    </row>
    <row r="12" customFormat="false" ht="15" hidden="false" customHeight="false" outlineLevel="0" collapsed="false">
      <c r="A12" s="1" t="n">
        <v>6</v>
      </c>
      <c r="B12" s="1" t="n">
        <f aca="false">ROUND(store_base*store_growth^(A12-1),0)</f>
        <v>108</v>
      </c>
      <c r="C12" s="1" t="n">
        <f aca="false">ROUND(water_passive_base*water_passive_growth^(A12-1),1)</f>
        <v>0.8</v>
      </c>
      <c r="D12" s="1" t="n">
        <f aca="false">B12*offline_store_mult</f>
        <v>216</v>
      </c>
      <c r="E12" s="1" t="n">
        <f aca="false">cave_protect_base+cave_protect_growth*(A12-1)</f>
        <v>0.4</v>
      </c>
      <c r="F12" s="1" t="n">
        <f aca="false">IF(A12=1,0,ROUND(cost_food_cave_stone*1*cost_growth^(A12-2)*IF(A12&lt;=4,stage_early,IF(A12&lt;=stage_mid_level,stage_mid,IF(A12&lt;=stage_late_level,stage_normal,stage_late))),0))</f>
        <v>200</v>
      </c>
      <c r="G12" s="1" t="n">
        <f aca="false">IF(A12=1,0,ROUND(cost_food_cave_wood*1*cost_growth^(A12-2)*IF(A12&lt;=4,stage_early,IF(A12&lt;=stage_mid_level,stage_mid,IF(A12&lt;=stage_late_level,stage_normal,stage_late))),0))</f>
        <v>120</v>
      </c>
      <c r="H12" s="1" t="n">
        <f aca="false">IF(A12=1,0,ROUND(build_time_base_min*time_coef_food_cave*time_growth^(A12-2)*IF(A12&lt;=4,stage_early,IF(A12&lt;=stage_mid_level,stage_mid,IF(A12&lt;=stage_late_level,stage_normal,stage_late)))/60,1))</f>
        <v>0.3</v>
      </c>
    </row>
    <row r="13" customFormat="false" ht="15" hidden="false" customHeight="false" outlineLevel="0" collapsed="false">
      <c r="A13" s="1" t="n">
        <v>7</v>
      </c>
      <c r="B13" s="1" t="n">
        <f aca="false">ROUND(store_base*store_growth^(A13-1),0)</f>
        <v>132</v>
      </c>
      <c r="C13" s="1" t="n">
        <f aca="false">ROUND(water_passive_base*water_passive_growth^(A13-1),1)</f>
        <v>1</v>
      </c>
      <c r="D13" s="1" t="n">
        <f aca="false">B13*offline_store_mult</f>
        <v>264</v>
      </c>
      <c r="E13" s="1" t="n">
        <f aca="false">cave_protect_base+cave_protect_growth*(A13-1)</f>
        <v>0.42</v>
      </c>
      <c r="F13" s="1" t="n">
        <f aca="false">IF(A13=1,0,ROUND(cost_food_cave_stone*1*cost_growth^(A13-2)*IF(A13&lt;=4,stage_early,IF(A13&lt;=stage_mid_level,stage_mid,IF(A13&lt;=stage_late_level,stage_normal,stage_late))),0))</f>
        <v>260</v>
      </c>
      <c r="G13" s="1" t="n">
        <f aca="false">IF(A13=1,0,ROUND(cost_food_cave_wood*1*cost_growth^(A13-2)*IF(A13&lt;=4,stage_early,IF(A13&lt;=stage_mid_level,stage_mid,IF(A13&lt;=stage_late_level,stage_normal,stage_late))),0))</f>
        <v>156</v>
      </c>
      <c r="H13" s="1" t="n">
        <f aca="false">IF(A13=1,0,ROUND(build_time_base_min*time_coef_food_cave*time_growth^(A13-2)*IF(A13&lt;=4,stage_early,IF(A13&lt;=stage_mid_level,stage_mid,IF(A13&lt;=stage_late_level,stage_normal,stage_late)))/60,1))</f>
        <v>0.4</v>
      </c>
    </row>
    <row r="14" customFormat="false" ht="15" hidden="false" customHeight="false" outlineLevel="0" collapsed="false">
      <c r="A14" s="1" t="n">
        <v>8</v>
      </c>
      <c r="B14" s="1" t="n">
        <f aca="false">ROUND(store_base*store_growth^(A14-1),0)</f>
        <v>161</v>
      </c>
      <c r="C14" s="1" t="n">
        <f aca="false">ROUND(water_passive_base*water_passive_growth^(A14-1),1)</f>
        <v>1.2</v>
      </c>
      <c r="D14" s="1" t="n">
        <f aca="false">B14*offline_store_mult</f>
        <v>322</v>
      </c>
      <c r="E14" s="1" t="n">
        <f aca="false">cave_protect_base+cave_protect_growth*(A14-1)</f>
        <v>0.44</v>
      </c>
      <c r="F14" s="1" t="n">
        <f aca="false">IF(A14=1,0,ROUND(cost_food_cave_stone*1*cost_growth^(A14-2)*IF(A14&lt;=4,stage_early,IF(A14&lt;=stage_mid_level,stage_mid,IF(A14&lt;=stage_late_level,stage_normal,stage_late))),0))</f>
        <v>338</v>
      </c>
      <c r="G14" s="1" t="n">
        <f aca="false">IF(A14=1,0,ROUND(cost_food_cave_wood*1*cost_growth^(A14-2)*IF(A14&lt;=4,stage_early,IF(A14&lt;=stage_mid_level,stage_mid,IF(A14&lt;=stage_late_level,stage_normal,stage_late))),0))</f>
        <v>203</v>
      </c>
      <c r="H14" s="1" t="n">
        <f aca="false">IF(A14=1,0,ROUND(build_time_base_min*time_coef_food_cave*time_growth^(A14-2)*IF(A14&lt;=4,stage_early,IF(A14&lt;=stage_mid_level,stage_mid,IF(A14&lt;=stage_late_level,stage_normal,stage_late)))/60,1))</f>
        <v>0.4</v>
      </c>
    </row>
    <row r="15" customFormat="false" ht="15" hidden="false" customHeight="false" outlineLevel="0" collapsed="false">
      <c r="A15" s="1" t="n">
        <v>9</v>
      </c>
      <c r="B15" s="1" t="n">
        <f aca="false">ROUND(store_base*store_growth^(A15-1),0)</f>
        <v>196</v>
      </c>
      <c r="C15" s="1" t="n">
        <f aca="false">ROUND(water_passive_base*water_passive_growth^(A15-1),1)</f>
        <v>1.5</v>
      </c>
      <c r="D15" s="1" t="n">
        <f aca="false">B15*offline_store_mult</f>
        <v>392</v>
      </c>
      <c r="E15" s="1" t="n">
        <f aca="false">cave_protect_base+cave_protect_growth*(A15-1)</f>
        <v>0.46</v>
      </c>
      <c r="F15" s="1" t="n">
        <f aca="false">IF(A15=1,0,ROUND(cost_food_cave_stone*1*cost_growth^(A15-2)*IF(A15&lt;=4,stage_early,IF(A15&lt;=stage_mid_level,stage_mid,IF(A15&lt;=stage_late_level,stage_normal,stage_late))),0))</f>
        <v>439</v>
      </c>
      <c r="G15" s="1" t="n">
        <f aca="false">IF(A15=1,0,ROUND(cost_food_cave_wood*1*cost_growth^(A15-2)*IF(A15&lt;=4,stage_early,IF(A15&lt;=stage_mid_level,stage_mid,IF(A15&lt;=stage_late_level,stage_normal,stage_late))),0))</f>
        <v>264</v>
      </c>
      <c r="H15" s="1" t="n">
        <f aca="false">IF(A15=1,0,ROUND(build_time_base_min*time_coef_food_cave*time_growth^(A15-2)*IF(A15&lt;=4,stage_early,IF(A15&lt;=stage_mid_level,stage_mid,IF(A15&lt;=stage_late_level,stage_normal,stage_late)))/60,1))</f>
        <v>0.6</v>
      </c>
    </row>
    <row r="16" customFormat="false" ht="15" hidden="false" customHeight="false" outlineLevel="0" collapsed="false">
      <c r="A16" s="1" t="n">
        <v>10</v>
      </c>
      <c r="B16" s="1" t="n">
        <f aca="false">ROUND(store_base*store_growth^(A16-1),0)</f>
        <v>239</v>
      </c>
      <c r="C16" s="1" t="n">
        <f aca="false">ROUND(water_passive_base*water_passive_growth^(A16-1),1)</f>
        <v>1.9</v>
      </c>
      <c r="D16" s="1" t="n">
        <f aca="false">B16*offline_store_mult</f>
        <v>478</v>
      </c>
      <c r="E16" s="1" t="n">
        <f aca="false">cave_protect_base+cave_protect_growth*(A16-1)</f>
        <v>0.48</v>
      </c>
      <c r="F16" s="1" t="n">
        <f aca="false">IF(A16=1,0,ROUND(cost_food_cave_stone*1*cost_growth^(A16-2)*IF(A16&lt;=4,stage_early,IF(A16&lt;=stage_mid_level,stage_mid,IF(A16&lt;=stage_late_level,stage_normal,stage_late))),0))</f>
        <v>571</v>
      </c>
      <c r="G16" s="1" t="n">
        <f aca="false">IF(A16=1,0,ROUND(cost_food_cave_wood*1*cost_growth^(A16-2)*IF(A16&lt;=4,stage_early,IF(A16&lt;=stage_mid_level,stage_mid,IF(A16&lt;=stage_late_level,stage_normal,stage_late))),0))</f>
        <v>343</v>
      </c>
      <c r="H16" s="1" t="n">
        <f aca="false">IF(A16=1,0,ROUND(build_time_base_min*time_coef_food_cave*time_growth^(A16-2)*IF(A16&lt;=4,stage_early,IF(A16&lt;=stage_mid_level,stage_mid,IF(A16&lt;=stage_late_level,stage_normal,stage_late)))/60,1))</f>
        <v>0.7</v>
      </c>
    </row>
    <row r="17" customFormat="false" ht="15" hidden="false" customHeight="false" outlineLevel="0" collapsed="false">
      <c r="A17" s="1" t="n">
        <v>11</v>
      </c>
      <c r="B17" s="1" t="n">
        <f aca="false">ROUND(store_base*store_growth^(A17-1),0)</f>
        <v>292</v>
      </c>
      <c r="C17" s="1" t="n">
        <f aca="false">ROUND(water_passive_base*water_passive_growth^(A17-1),1)</f>
        <v>2.3</v>
      </c>
      <c r="D17" s="1" t="n">
        <f aca="false">B17*offline_store_mult</f>
        <v>584</v>
      </c>
      <c r="E17" s="1" t="n">
        <f aca="false">cave_protect_base+cave_protect_growth*(A17-1)</f>
        <v>0.5</v>
      </c>
      <c r="F17" s="1" t="n">
        <f aca="false">IF(A17=1,0,ROUND(cost_food_cave_stone*1*cost_growth^(A17-2)*IF(A17&lt;=4,stage_early,IF(A17&lt;=stage_mid_level,stage_mid,IF(A17&lt;=stage_late_level,stage_normal,stage_late))),0))</f>
        <v>1060</v>
      </c>
      <c r="G17" s="1" t="n">
        <f aca="false">IF(A17=1,0,ROUND(cost_food_cave_wood*1*cost_growth^(A17-2)*IF(A17&lt;=4,stage_early,IF(A17&lt;=stage_mid_level,stage_mid,IF(A17&lt;=stage_late_level,stage_normal,stage_late))),0))</f>
        <v>636</v>
      </c>
      <c r="H17" s="1" t="n">
        <f aca="false">IF(A17=1,0,ROUND(build_time_base_min*time_coef_food_cave*time_growth^(A17-2)*IF(A17&lt;=4,stage_early,IF(A17&lt;=stage_mid_level,stage_mid,IF(A17&lt;=stage_late_level,stage_normal,stage_late)))/60,1))</f>
        <v>1.2</v>
      </c>
    </row>
    <row r="18" customFormat="false" ht="15" hidden="false" customHeight="false" outlineLevel="0" collapsed="false">
      <c r="A18" s="1" t="n">
        <v>12</v>
      </c>
      <c r="B18" s="1" t="n">
        <f aca="false">ROUND(store_base*store_growth^(A18-1),0)</f>
        <v>356</v>
      </c>
      <c r="C18" s="1" t="n">
        <f aca="false">ROUND(water_passive_base*water_passive_growth^(A18-1),1)</f>
        <v>2.9</v>
      </c>
      <c r="D18" s="1" t="n">
        <f aca="false">B18*offline_store_mult</f>
        <v>712</v>
      </c>
      <c r="E18" s="1" t="n">
        <f aca="false">cave_protect_base+cave_protect_growth*(A18-1)</f>
        <v>0.52</v>
      </c>
      <c r="F18" s="1" t="n">
        <f aca="false">IF(A18=1,0,ROUND(cost_food_cave_stone*1*cost_growth^(A18-2)*IF(A18&lt;=4,stage_early,IF(A18&lt;=stage_mid_level,stage_mid,IF(A18&lt;=stage_late_level,stage_normal,stage_late))),0))</f>
        <v>1379</v>
      </c>
      <c r="G18" s="1" t="n">
        <f aca="false">IF(A18=1,0,ROUND(cost_food_cave_wood*1*cost_growth^(A18-2)*IF(A18&lt;=4,stage_early,IF(A18&lt;=stage_mid_level,stage_mid,IF(A18&lt;=stage_late_level,stage_normal,stage_late))),0))</f>
        <v>827</v>
      </c>
      <c r="H18" s="1" t="n">
        <f aca="false">IF(A18=1,0,ROUND(build_time_base_min*time_coef_food_cave*time_growth^(A18-2)*IF(A18&lt;=4,stage_early,IF(A18&lt;=stage_mid_level,stage_mid,IF(A18&lt;=stage_late_level,stage_normal,stage_late)))/60,1))</f>
        <v>1.6</v>
      </c>
    </row>
    <row r="19" customFormat="false" ht="15" hidden="false" customHeight="false" outlineLevel="0" collapsed="false">
      <c r="A19" s="1" t="n">
        <v>13</v>
      </c>
      <c r="B19" s="1" t="n">
        <f aca="false">ROUND(store_base*store_growth^(A19-1),0)</f>
        <v>435</v>
      </c>
      <c r="C19" s="1" t="n">
        <f aca="false">ROUND(water_passive_base*water_passive_growth^(A19-1),1)</f>
        <v>3.6</v>
      </c>
      <c r="D19" s="1" t="n">
        <f aca="false">B19*offline_store_mult</f>
        <v>870</v>
      </c>
      <c r="E19" s="1" t="n">
        <f aca="false">cave_protect_base+cave_protect_growth*(A19-1)</f>
        <v>0.54</v>
      </c>
      <c r="F19" s="1" t="n">
        <f aca="false">IF(A19=1,0,ROUND(cost_food_cave_stone*1*cost_growth^(A19-2)*IF(A19&lt;=4,stage_early,IF(A19&lt;=stage_mid_level,stage_mid,IF(A19&lt;=stage_late_level,stage_normal,stage_late))),0))</f>
        <v>1792</v>
      </c>
      <c r="G19" s="1" t="n">
        <f aca="false">IF(A19=1,0,ROUND(cost_food_cave_wood*1*cost_growth^(A19-2)*IF(A19&lt;=4,stage_early,IF(A19&lt;=stage_mid_level,stage_mid,IF(A19&lt;=stage_late_level,stage_normal,stage_late))),0))</f>
        <v>1075</v>
      </c>
      <c r="H19" s="1" t="n">
        <f aca="false">IF(A19=1,0,ROUND(build_time_base_min*time_coef_food_cave*time_growth^(A19-2)*IF(A19&lt;=4,stage_early,IF(A19&lt;=stage_mid_level,stage_mid,IF(A19&lt;=stage_late_level,stage_normal,stage_late)))/60,1))</f>
        <v>1.9</v>
      </c>
    </row>
    <row r="20" customFormat="false" ht="15" hidden="false" customHeight="false" outlineLevel="0" collapsed="false">
      <c r="A20" s="1" t="n">
        <v>14</v>
      </c>
      <c r="B20" s="1" t="n">
        <f aca="false">ROUND(store_base*store_growth^(A20-1),0)</f>
        <v>531</v>
      </c>
      <c r="C20" s="1" t="n">
        <f aca="false">ROUND(water_passive_base*water_passive_growth^(A20-1),1)</f>
        <v>4.5</v>
      </c>
      <c r="D20" s="1" t="n">
        <f aca="false">B20*offline_store_mult</f>
        <v>1062</v>
      </c>
      <c r="E20" s="1" t="n">
        <f aca="false">cave_protect_base+cave_protect_growth*(A20-1)</f>
        <v>0.56</v>
      </c>
      <c r="F20" s="1" t="n">
        <f aca="false">IF(A20=1,0,ROUND(cost_food_cave_stone*1*cost_growth^(A20-2)*IF(A20&lt;=4,stage_early,IF(A20&lt;=stage_mid_level,stage_mid,IF(A20&lt;=stage_late_level,stage_normal,stage_late))),0))</f>
        <v>2330</v>
      </c>
      <c r="G20" s="1" t="n">
        <f aca="false">IF(A20=1,0,ROUND(cost_food_cave_wood*1*cost_growth^(A20-2)*IF(A20&lt;=4,stage_early,IF(A20&lt;=stage_mid_level,stage_mid,IF(A20&lt;=stage_late_level,stage_normal,stage_late))),0))</f>
        <v>1398</v>
      </c>
      <c r="H20" s="1" t="n">
        <f aca="false">IF(A20=1,0,ROUND(build_time_base_min*time_coef_food_cave*time_growth^(A20-2)*IF(A20&lt;=4,stage_early,IF(A20&lt;=stage_mid_level,stage_mid,IF(A20&lt;=stage_late_level,stage_normal,stage_late)))/60,1))</f>
        <v>2.4</v>
      </c>
    </row>
    <row r="21" customFormat="false" ht="15" hidden="false" customHeight="false" outlineLevel="0" collapsed="false">
      <c r="A21" s="1" t="n">
        <v>15</v>
      </c>
      <c r="B21" s="1" t="n">
        <f aca="false">ROUND(store_base*store_growth^(A21-1),0)</f>
        <v>647</v>
      </c>
      <c r="C21" s="1" t="n">
        <f aca="false">ROUND(water_passive_base*water_passive_growth^(A21-1),1)</f>
        <v>5.7</v>
      </c>
      <c r="D21" s="1" t="n">
        <f aca="false">B21*offline_store_mult</f>
        <v>1294</v>
      </c>
      <c r="E21" s="1" t="n">
        <f aca="false">cave_protect_base+cave_protect_growth*(A21-1)</f>
        <v>0.58</v>
      </c>
      <c r="F21" s="1" t="n">
        <f aca="false">IF(A21=1,0,ROUND(cost_food_cave_stone*1*cost_growth^(A21-2)*IF(A21&lt;=4,stage_early,IF(A21&lt;=stage_mid_level,stage_mid,IF(A21&lt;=stage_late_level,stage_normal,stage_late))),0))</f>
        <v>3029</v>
      </c>
      <c r="G21" s="1" t="n">
        <f aca="false">IF(A21=1,0,ROUND(cost_food_cave_wood*1*cost_growth^(A21-2)*IF(A21&lt;=4,stage_early,IF(A21&lt;=stage_mid_level,stage_mid,IF(A21&lt;=stage_late_level,stage_normal,stage_late))),0))</f>
        <v>1817</v>
      </c>
      <c r="H21" s="1" t="n">
        <f aca="false">IF(A21=1,0,ROUND(build_time_base_min*time_coef_food_cave*time_growth^(A21-2)*IF(A21&lt;=4,stage_early,IF(A21&lt;=stage_mid_level,stage_mid,IF(A21&lt;=stage_late_level,stage_normal,stage_late)))/60,1))</f>
        <v>3</v>
      </c>
    </row>
    <row r="22" customFormat="false" ht="15" hidden="false" customHeight="false" outlineLevel="0" collapsed="false">
      <c r="A22" s="1" t="n">
        <v>16</v>
      </c>
      <c r="B22" s="1" t="n">
        <f aca="false">ROUND(store_base*store_growth^(A22-1),0)</f>
        <v>790</v>
      </c>
      <c r="C22" s="1" t="n">
        <f aca="false">ROUND(water_passive_base*water_passive_growth^(A22-1),1)</f>
        <v>7.1</v>
      </c>
      <c r="D22" s="1" t="n">
        <f aca="false">B22*offline_store_mult</f>
        <v>1580</v>
      </c>
      <c r="E22" s="1" t="n">
        <f aca="false">cave_protect_base+cave_protect_growth*(A22-1)</f>
        <v>0.6</v>
      </c>
      <c r="F22" s="1" t="n">
        <f aca="false">IF(A22=1,0,ROUND(cost_food_cave_stone*1*cost_growth^(A22-2)*IF(A22&lt;=4,stage_early,IF(A22&lt;=stage_mid_level,stage_mid,IF(A22&lt;=stage_late_level,stage_normal,stage_late))),0))</f>
        <v>4922</v>
      </c>
      <c r="G22" s="1" t="n">
        <f aca="false">IF(A22=1,0,ROUND(cost_food_cave_wood*1*cost_growth^(A22-2)*IF(A22&lt;=4,stage_early,IF(A22&lt;=stage_mid_level,stage_mid,IF(A22&lt;=stage_late_level,stage_normal,stage_late))),0))</f>
        <v>2953</v>
      </c>
      <c r="H22" s="1" t="n">
        <f aca="false">IF(A22=1,0,ROUND(build_time_base_min*time_coef_food_cave*time_growth^(A22-2)*IF(A22&lt;=4,stage_early,IF(A22&lt;=stage_mid_level,stage_mid,IF(A22&lt;=stage_late_level,stage_normal,stage_late)))/60,1))</f>
        <v>4.7</v>
      </c>
    </row>
    <row r="23" customFormat="false" ht="15" hidden="false" customHeight="false" outlineLevel="0" collapsed="false">
      <c r="A23" s="1" t="n">
        <v>17</v>
      </c>
      <c r="B23" s="1" t="n">
        <f aca="false">ROUND(store_base*store_growth^(A23-1),0)</f>
        <v>963</v>
      </c>
      <c r="C23" s="1" t="n">
        <f aca="false">ROUND(water_passive_base*water_passive_growth^(A23-1),1)</f>
        <v>8.9</v>
      </c>
      <c r="D23" s="1" t="n">
        <f aca="false">B23*offline_store_mult</f>
        <v>1926</v>
      </c>
      <c r="E23" s="1" t="n">
        <f aca="false">cave_protect_base+cave_protect_growth*(A23-1)</f>
        <v>0.62</v>
      </c>
      <c r="F23" s="1" t="n">
        <f aca="false">IF(A23=1,0,ROUND(cost_food_cave_stone*1*cost_growth^(A23-2)*IF(A23&lt;=4,stage_early,IF(A23&lt;=stage_mid_level,stage_mid,IF(A23&lt;=stage_late_level,stage_normal,stage_late))),0))</f>
        <v>6398</v>
      </c>
      <c r="G23" s="1" t="n">
        <f aca="false">IF(A23=1,0,ROUND(cost_food_cave_wood*1*cost_growth^(A23-2)*IF(A23&lt;=4,stage_early,IF(A23&lt;=stage_mid_level,stage_mid,IF(A23&lt;=stage_late_level,stage_normal,stage_late))),0))</f>
        <v>3839</v>
      </c>
      <c r="H23" s="1" t="n">
        <f aca="false">IF(A23=1,0,ROUND(build_time_base_min*time_coef_food_cave*time_growth^(A23-2)*IF(A23&lt;=4,stage_early,IF(A23&lt;=stage_mid_level,stage_mid,IF(A23&lt;=stage_late_level,stage_normal,stage_late)))/60,1))</f>
        <v>5.9</v>
      </c>
    </row>
    <row r="24" customFormat="false" ht="15" hidden="false" customHeight="false" outlineLevel="0" collapsed="false">
      <c r="A24" s="1" t="n">
        <v>18</v>
      </c>
      <c r="B24" s="1" t="n">
        <f aca="false">ROUND(store_base*store_growth^(A24-1),0)</f>
        <v>1175</v>
      </c>
      <c r="C24" s="1" t="n">
        <f aca="false">ROUND(water_passive_base*water_passive_growth^(A24-1),1)</f>
        <v>11.1</v>
      </c>
      <c r="D24" s="1" t="n">
        <f aca="false">B24*offline_store_mult</f>
        <v>2350</v>
      </c>
      <c r="E24" s="1" t="n">
        <f aca="false">cave_protect_base+cave_protect_growth*(A24-1)</f>
        <v>0.64</v>
      </c>
      <c r="F24" s="1" t="n">
        <f aca="false">IF(A24=1,0,ROUND(cost_food_cave_stone*1*cost_growth^(A24-2)*IF(A24&lt;=4,stage_early,IF(A24&lt;=stage_mid_level,stage_mid,IF(A24&lt;=stage_late_level,stage_normal,stage_late))),0))</f>
        <v>8318</v>
      </c>
      <c r="G24" s="1" t="n">
        <f aca="false">IF(A24=1,0,ROUND(cost_food_cave_wood*1*cost_growth^(A24-2)*IF(A24&lt;=4,stage_early,IF(A24&lt;=stage_mid_level,stage_mid,IF(A24&lt;=stage_late_level,stage_normal,stage_late))),0))</f>
        <v>4991</v>
      </c>
      <c r="H24" s="1" t="n">
        <f aca="false">IF(A24=1,0,ROUND(build_time_base_min*time_coef_food_cave*time_growth^(A24-2)*IF(A24&lt;=4,stage_early,IF(A24&lt;=stage_mid_level,stage_mid,IF(A24&lt;=stage_late_level,stage_normal,stage_late)))/60,1))</f>
        <v>7.4</v>
      </c>
    </row>
    <row r="25" customFormat="false" ht="15" hidden="false" customHeight="false" outlineLevel="0" collapsed="false">
      <c r="A25" s="1" t="n">
        <v>19</v>
      </c>
      <c r="B25" s="1" t="n">
        <f aca="false">ROUND(store_base*store_growth^(A25-1),0)</f>
        <v>1434</v>
      </c>
      <c r="C25" s="1" t="n">
        <f aca="false">ROUND(water_passive_base*water_passive_growth^(A25-1),1)</f>
        <v>13.9</v>
      </c>
      <c r="D25" s="1" t="n">
        <f aca="false">B25*offline_store_mult</f>
        <v>2868</v>
      </c>
      <c r="E25" s="1" t="n">
        <f aca="false">cave_protect_base+cave_protect_growth*(A25-1)</f>
        <v>0.66</v>
      </c>
      <c r="F25" s="1" t="n">
        <f aca="false">IF(A25=1,0,ROUND(cost_food_cave_stone*1*cost_growth^(A25-2)*IF(A25&lt;=4,stage_early,IF(A25&lt;=stage_mid_level,stage_mid,IF(A25&lt;=stage_late_level,stage_normal,stage_late))),0))</f>
        <v>10813</v>
      </c>
      <c r="G25" s="1" t="n">
        <f aca="false">IF(A25=1,0,ROUND(cost_food_cave_wood*1*cost_growth^(A25-2)*IF(A25&lt;=4,stage_early,IF(A25&lt;=stage_mid_level,stage_mid,IF(A25&lt;=stage_late_level,stage_normal,stage_late))),0))</f>
        <v>6488</v>
      </c>
      <c r="H25" s="1" t="n">
        <f aca="false">IF(A25=1,0,ROUND(build_time_base_min*time_coef_food_cave*time_growth^(A25-2)*IF(A25&lt;=4,stage_early,IF(A25&lt;=stage_mid_level,stage_mid,IF(A25&lt;=stage_late_level,stage_normal,stage_late)))/60,1))</f>
        <v>9.3</v>
      </c>
    </row>
    <row r="26" customFormat="false" ht="15" hidden="false" customHeight="false" outlineLevel="0" collapsed="false">
      <c r="A26" s="1" t="n">
        <v>20</v>
      </c>
      <c r="B26" s="1" t="n">
        <f aca="false">ROUND(store_base*store_growth^(A26-1),0)</f>
        <v>1749</v>
      </c>
      <c r="C26" s="1" t="n">
        <f aca="false">ROUND(water_passive_base*water_passive_growth^(A26-1),1)</f>
        <v>17.3</v>
      </c>
      <c r="D26" s="1" t="n">
        <f aca="false">B26*offline_store_mult</f>
        <v>3498</v>
      </c>
      <c r="E26" s="1" t="n">
        <f aca="false">cave_protect_base+cave_protect_growth*(A26-1)</f>
        <v>0.68</v>
      </c>
      <c r="F26" s="1" t="n">
        <f aca="false">IF(A26=1,0,ROUND(cost_food_cave_stone*1*cost_growth^(A26-2)*IF(A26&lt;=4,stage_early,IF(A26&lt;=stage_mid_level,stage_mid,IF(A26&lt;=stage_late_level,stage_normal,stage_late))),0))</f>
        <v>14057</v>
      </c>
      <c r="G26" s="1" t="n">
        <f aca="false">IF(A26=1,0,ROUND(cost_food_cave_wood*1*cost_growth^(A26-2)*IF(A26&lt;=4,stage_early,IF(A26&lt;=stage_mid_level,stage_mid,IF(A26&lt;=stage_late_level,stage_normal,stage_late))),0))</f>
        <v>8434</v>
      </c>
      <c r="H26" s="1" t="n">
        <f aca="false">IF(A26=1,0,ROUND(build_time_base_min*time_coef_food_cave*time_growth^(A26-2)*IF(A26&lt;=4,stage_early,IF(A26&lt;=stage_mid_level,stage_mid,IF(A26&lt;=stage_late_level,stage_normal,stage_late)))/60,1))</f>
        <v>11.6</v>
      </c>
    </row>
    <row r="27" customFormat="false" ht="15" hidden="false" customHeight="false" outlineLevel="0" collapsed="false">
      <c r="A27" s="1" t="n">
        <v>21</v>
      </c>
      <c r="B27" s="1" t="n">
        <f aca="false">ROUND(store_base*store_growth^(A27-1),0)</f>
        <v>2134</v>
      </c>
      <c r="C27" s="1" t="n">
        <f aca="false">ROUND(water_passive_base*water_passive_growth^(A27-1),1)</f>
        <v>21.7</v>
      </c>
      <c r="D27" s="1" t="n">
        <f aca="false">B27*offline_store_mult</f>
        <v>4268</v>
      </c>
      <c r="E27" s="1" t="n">
        <f aca="false">cave_protect_base+cave_protect_growth*(A27-1)</f>
        <v>0.7</v>
      </c>
      <c r="F27" s="1" t="n">
        <f aca="false">IF(A27=1,0,ROUND(cost_food_cave_stone*1*cost_growth^(A27-2)*IF(A27&lt;=4,stage_early,IF(A27&lt;=stage_mid_level,stage_mid,IF(A27&lt;=stage_late_level,stage_normal,stage_late))),0))</f>
        <v>18274</v>
      </c>
      <c r="G27" s="1" t="n">
        <f aca="false">IF(A27=1,0,ROUND(cost_food_cave_wood*1*cost_growth^(A27-2)*IF(A27&lt;=4,stage_early,IF(A27&lt;=stage_mid_level,stage_mid,IF(A27&lt;=stage_late_level,stage_normal,stage_late))),0))</f>
        <v>10964</v>
      </c>
      <c r="H27" s="1" t="n">
        <f aca="false">IF(A27=1,0,ROUND(build_time_base_min*time_coef_food_cave*time_growth^(A27-2)*IF(A27&lt;=4,stage_early,IF(A27&lt;=stage_mid_level,stage_mid,IF(A27&lt;=stage_late_level,stage_normal,stage_late)))/60,1))</f>
        <v>14.5</v>
      </c>
    </row>
    <row r="28" customFormat="false" ht="15" hidden="false" customHeight="false" outlineLevel="0" collapsed="false">
      <c r="A28" s="1" t="n">
        <v>22</v>
      </c>
      <c r="B28" s="1" t="n">
        <f aca="false">ROUND(store_base*store_growth^(A28-1),0)</f>
        <v>2604</v>
      </c>
      <c r="C28" s="1" t="n">
        <f aca="false">ROUND(water_passive_base*water_passive_growth^(A28-1),1)</f>
        <v>27.1</v>
      </c>
      <c r="D28" s="1" t="n">
        <f aca="false">B28*offline_store_mult</f>
        <v>5208</v>
      </c>
      <c r="E28" s="1" t="n">
        <f aca="false">cave_protect_base+cave_protect_growth*(A28-1)</f>
        <v>0.72</v>
      </c>
      <c r="F28" s="1" t="n">
        <f aca="false">IF(A28=1,0,ROUND(cost_food_cave_stone*1*cost_growth^(A28-2)*IF(A28&lt;=4,stage_early,IF(A28&lt;=stage_mid_level,stage_mid,IF(A28&lt;=stage_late_level,stage_normal,stage_late))),0))</f>
        <v>23756</v>
      </c>
      <c r="G28" s="1" t="n">
        <f aca="false">IF(A28=1,0,ROUND(cost_food_cave_wood*1*cost_growth^(A28-2)*IF(A28&lt;=4,stage_early,IF(A28&lt;=stage_mid_level,stage_mid,IF(A28&lt;=stage_late_level,stage_normal,stage_late))),0))</f>
        <v>14254</v>
      </c>
      <c r="H28" s="1" t="n">
        <f aca="false">IF(A28=1,0,ROUND(build_time_base_min*time_coef_food_cave*time_growth^(A28-2)*IF(A28&lt;=4,stage_early,IF(A28&lt;=stage_mid_level,stage_mid,IF(A28&lt;=stage_late_level,stage_normal,stage_late)))/60,1))</f>
        <v>18.1</v>
      </c>
    </row>
    <row r="29" customFormat="false" ht="15" hidden="false" customHeight="false" outlineLevel="0" collapsed="false">
      <c r="A29" s="1" t="n">
        <v>23</v>
      </c>
      <c r="B29" s="1" t="n">
        <f aca="false">ROUND(store_base*store_growth^(A29-1),0)</f>
        <v>3177</v>
      </c>
      <c r="C29" s="1" t="n">
        <f aca="false">ROUND(water_passive_base*water_passive_growth^(A29-1),1)</f>
        <v>33.9</v>
      </c>
      <c r="D29" s="1" t="n">
        <f aca="false">B29*offline_store_mult</f>
        <v>6354</v>
      </c>
      <c r="E29" s="1" t="n">
        <f aca="false">cave_protect_base+cave_protect_growth*(A29-1)</f>
        <v>0.74</v>
      </c>
      <c r="F29" s="1" t="n">
        <f aca="false">IF(A29=1,0,ROUND(cost_food_cave_stone*1*cost_growth^(A29-2)*IF(A29&lt;=4,stage_early,IF(A29&lt;=stage_mid_level,stage_mid,IF(A29&lt;=stage_late_level,stage_normal,stage_late))),0))</f>
        <v>30883</v>
      </c>
      <c r="G29" s="1" t="n">
        <f aca="false">IF(A29=1,0,ROUND(cost_food_cave_wood*1*cost_growth^(A29-2)*IF(A29&lt;=4,stage_early,IF(A29&lt;=stage_mid_level,stage_mid,IF(A29&lt;=stage_late_level,stage_normal,stage_late))),0))</f>
        <v>18530</v>
      </c>
      <c r="H29" s="1" t="n">
        <f aca="false">IF(A29=1,0,ROUND(build_time_base_min*time_coef_food_cave*time_growth^(A29-2)*IF(A29&lt;=4,stage_early,IF(A29&lt;=stage_mid_level,stage_mid,IF(A29&lt;=stage_late_level,stage_normal,stage_late)))/60,1))</f>
        <v>22.6</v>
      </c>
    </row>
    <row r="30" customFormat="false" ht="15" hidden="false" customHeight="false" outlineLevel="0" collapsed="false">
      <c r="A30" s="1" t="n">
        <v>24</v>
      </c>
      <c r="B30" s="1" t="n">
        <f aca="false">ROUND(store_base*store_growth^(A30-1),0)</f>
        <v>3876</v>
      </c>
      <c r="C30" s="1" t="n">
        <f aca="false">ROUND(water_passive_base*water_passive_growth^(A30-1),1)</f>
        <v>42.4</v>
      </c>
      <c r="D30" s="1" t="n">
        <f aca="false">B30*offline_store_mult</f>
        <v>7752</v>
      </c>
      <c r="E30" s="1" t="n">
        <f aca="false">cave_protect_base+cave_protect_growth*(A30-1)</f>
        <v>0.76</v>
      </c>
      <c r="F30" s="1" t="n">
        <f aca="false">IF(A30=1,0,ROUND(cost_food_cave_stone*1*cost_growth^(A30-2)*IF(A30&lt;=4,stage_early,IF(A30&lt;=stage_mid_level,stage_mid,IF(A30&lt;=stage_late_level,stage_normal,stage_late))),0))</f>
        <v>40148</v>
      </c>
      <c r="G30" s="1" t="n">
        <f aca="false">IF(A30=1,0,ROUND(cost_food_cave_wood*1*cost_growth^(A30-2)*IF(A30&lt;=4,stage_early,IF(A30&lt;=stage_mid_level,stage_mid,IF(A30&lt;=stage_late_level,stage_normal,stage_late))),0))</f>
        <v>24089</v>
      </c>
      <c r="H30" s="1" t="n">
        <f aca="false">IF(A30=1,0,ROUND(build_time_base_min*time_coef_food_cave*time_growth^(A30-2)*IF(A30&lt;=4,stage_early,IF(A30&lt;=stage_mid_level,stage_mid,IF(A30&lt;=stage_late_level,stage_normal,stage_late)))/60,1))</f>
        <v>28.2</v>
      </c>
    </row>
    <row r="31" customFormat="false" ht="15" hidden="false" customHeight="false" outlineLevel="0" collapsed="false">
      <c r="A31" s="1" t="n">
        <v>25</v>
      </c>
      <c r="B31" s="1" t="n">
        <f aca="false">ROUND(store_base*store_growth^(A31-1),0)</f>
        <v>4728</v>
      </c>
      <c r="C31" s="1" t="n">
        <f aca="false">ROUND(water_passive_base*water_passive_growth^(A31-1),1)</f>
        <v>52.9</v>
      </c>
      <c r="D31" s="1" t="n">
        <f aca="false">B31*offline_store_mult</f>
        <v>9456</v>
      </c>
      <c r="E31" s="1" t="n">
        <f aca="false">cave_protect_base+cave_protect_growth*(A31-1)</f>
        <v>0.78</v>
      </c>
      <c r="F31" s="1" t="n">
        <f aca="false">IF(A31=1,0,ROUND(cost_food_cave_stone*1*cost_growth^(A31-2)*IF(A31&lt;=4,stage_early,IF(A31&lt;=stage_mid_level,stage_mid,IF(A31&lt;=stage_late_level,stage_normal,stage_late))),0))</f>
        <v>52192</v>
      </c>
      <c r="G31" s="1" t="n">
        <f aca="false">IF(A31=1,0,ROUND(cost_food_cave_wood*1*cost_growth^(A31-2)*IF(A31&lt;=4,stage_early,IF(A31&lt;=stage_mid_level,stage_mid,IF(A31&lt;=stage_late_level,stage_normal,stage_late))),0))</f>
        <v>31315</v>
      </c>
      <c r="H31" s="1" t="n">
        <f aca="false">IF(A31=1,0,ROUND(build_time_base_min*time_coef_food_cave*time_growth^(A31-2)*IF(A31&lt;=4,stage_early,IF(A31&lt;=stage_mid_level,stage_mid,IF(A31&lt;=stage_late_level,stage_normal,stage_late)))/60,1))</f>
        <v>35.3</v>
      </c>
    </row>
    <row r="32" customFormat="false" ht="15" hidden="false" customHeight="false" outlineLevel="0" collapsed="false">
      <c r="A32" s="1" t="s">
        <v>141</v>
      </c>
    </row>
    <row r="33" customFormat="false" ht="15" hidden="false" customHeight="false" outlineLevel="0" collapsed="false">
      <c r="A33" s="2" t="s">
        <v>2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s">
        <v>138</v>
      </c>
      <c r="G33" s="2" t="s">
        <v>139</v>
      </c>
      <c r="H33" s="2" t="s">
        <v>146</v>
      </c>
      <c r="I33" s="2" t="s">
        <v>140</v>
      </c>
    </row>
    <row r="34" customFormat="false" ht="15" hidden="false" customHeight="false" outlineLevel="0" collapsed="false">
      <c r="A34" s="1" t="n">
        <v>1</v>
      </c>
      <c r="B34" s="1" t="n">
        <f aca="false">ROUND(prod_base*prod_growth^(A34-1),0)</f>
        <v>20</v>
      </c>
      <c r="C34" s="1" t="n">
        <f aca="false">ROUND(prod_base*prod_growth^(A34-1)*24,0)</f>
        <v>480</v>
      </c>
      <c r="D34" s="1" t="n">
        <f aca="false">B34*workshop_buffer_h</f>
        <v>200</v>
      </c>
      <c r="E34" s="1" t="n">
        <f aca="false">D34*offline_store_mult</f>
        <v>400</v>
      </c>
      <c r="F34" s="1" t="n">
        <f aca="false">IF(A34=1,0,ROUND(cost_workshop_stone*1*cost_growth^(A34-2)*IF(A34&lt;=4,stage_early,IF(A34&lt;=stage_mid_level,stage_mid,IF(A34&lt;=stage_late_level,stage_normal,stage_late))),0))</f>
        <v>0</v>
      </c>
      <c r="G34" s="1" t="n">
        <f aca="false">IF(A34=1,0,ROUND(cost_workshop_wood*1*cost_growth^(A34-2)*IF(A34&lt;=4,stage_early,IF(A34&lt;=stage_mid_level,stage_mid,IF(A34&lt;=stage_late_level,stage_normal,stage_late))),0))</f>
        <v>0</v>
      </c>
      <c r="H34" s="1" t="n">
        <f aca="false">IF(A34=1,0,ROUND(cost_workshop_bone*1*cost_growth^(A34-2)*IF(A34&lt;=4,stage_early,IF(A34&lt;=stage_mid_level,stage_mid,IF(A34&lt;=stage_late_level,stage_normal,stage_late))),0))</f>
        <v>0</v>
      </c>
      <c r="I34" s="1" t="n">
        <f aca="false">IF(A34=1,0,ROUND(build_time_base_min*time_coef_workshop*time_growth^(A34-2)*IF(A34&lt;=4,stage_early,IF(A34&lt;=stage_mid_level,stage_mid,IF(A34&lt;=stage_late_level,stage_normal,stage_late)))/60,1))</f>
        <v>0</v>
      </c>
    </row>
    <row r="35" customFormat="false" ht="15" hidden="false" customHeight="false" outlineLevel="0" collapsed="false">
      <c r="A35" s="1" t="n">
        <v>2</v>
      </c>
      <c r="B35" s="1" t="n">
        <f aca="false">ROUND(prod_base*prod_growth^(A35-1),0)</f>
        <v>24</v>
      </c>
      <c r="C35" s="1" t="n">
        <f aca="false">ROUND(prod_base*prod_growth^(A35-1)*24,0)</f>
        <v>586</v>
      </c>
      <c r="D35" s="1" t="n">
        <f aca="false">B35*workshop_buffer_h</f>
        <v>240</v>
      </c>
      <c r="E35" s="1" t="n">
        <f aca="false">D35*offline_store_mult</f>
        <v>480</v>
      </c>
      <c r="F35" s="1" t="n">
        <f aca="false">IF(A35=1,0,ROUND(cost_workshop_stone*1*cost_growth^(A35-2)*IF(A35&lt;=4,stage_early,IF(A35&lt;=stage_mid_level,stage_mid,IF(A35&lt;=stage_late_level,stage_normal,stage_late))),0))</f>
        <v>60</v>
      </c>
      <c r="G35" s="1" t="n">
        <f aca="false">IF(A35=1,0,ROUND(cost_workshop_wood*1*cost_growth^(A35-2)*IF(A35&lt;=4,stage_early,IF(A35&lt;=stage_mid_level,stage_mid,IF(A35&lt;=stage_late_level,stage_normal,stage_late))),0))</f>
        <v>40</v>
      </c>
      <c r="H35" s="1" t="n">
        <f aca="false">IF(A35=1,0,ROUND(cost_workshop_bone*1*cost_growth^(A35-2)*IF(A35&lt;=4,stage_early,IF(A35&lt;=stage_mid_level,stage_mid,IF(A35&lt;=stage_late_level,stage_normal,stage_late))),0))</f>
        <v>16</v>
      </c>
      <c r="I35" s="1" t="n">
        <f aca="false">IF(A35=1,0,ROUND(build_time_base_min*time_coef_workshop*time_growth^(A35-2)*IF(A35&lt;=4,stage_early,IF(A35&lt;=stage_mid_level,stage_mid,IF(A35&lt;=stage_late_level,stage_normal,stage_late)))/60,1))</f>
        <v>0.1</v>
      </c>
    </row>
    <row r="36" customFormat="false" ht="15" hidden="false" customHeight="false" outlineLevel="0" collapsed="false">
      <c r="A36" s="1" t="n">
        <v>3</v>
      </c>
      <c r="B36" s="1" t="n">
        <f aca="false">ROUND(prod_base*prod_growth^(A36-1),0)</f>
        <v>30</v>
      </c>
      <c r="C36" s="1" t="n">
        <f aca="false">ROUND(prod_base*prod_growth^(A36-1)*24,0)</f>
        <v>714</v>
      </c>
      <c r="D36" s="1" t="n">
        <f aca="false">B36*workshop_buffer_h</f>
        <v>300</v>
      </c>
      <c r="E36" s="1" t="n">
        <f aca="false">D36*offline_store_mult</f>
        <v>600</v>
      </c>
      <c r="F36" s="1" t="n">
        <f aca="false">IF(A36=1,0,ROUND(cost_workshop_stone*1*cost_growth^(A36-2)*IF(A36&lt;=4,stage_early,IF(A36&lt;=stage_mid_level,stage_mid,IF(A36&lt;=stage_late_level,stage_normal,stage_late))),0))</f>
        <v>78</v>
      </c>
      <c r="G36" s="1" t="n">
        <f aca="false">IF(A36=1,0,ROUND(cost_workshop_wood*1*cost_growth^(A36-2)*IF(A36&lt;=4,stage_early,IF(A36&lt;=stage_mid_level,stage_mid,IF(A36&lt;=stage_late_level,stage_normal,stage_late))),0))</f>
        <v>52</v>
      </c>
      <c r="H36" s="1" t="n">
        <f aca="false">IF(A36=1,0,ROUND(cost_workshop_bone*1*cost_growth^(A36-2)*IF(A36&lt;=4,stage_early,IF(A36&lt;=stage_mid_level,stage_mid,IF(A36&lt;=stage_late_level,stage_normal,stage_late))),0))</f>
        <v>21</v>
      </c>
      <c r="I36" s="1" t="n">
        <f aca="false">IF(A36=1,0,ROUND(build_time_base_min*time_coef_workshop*time_growth^(A36-2)*IF(A36&lt;=4,stage_early,IF(A36&lt;=stage_mid_level,stage_mid,IF(A36&lt;=stage_late_level,stage_normal,stage_late)))/60,1))</f>
        <v>0.1</v>
      </c>
    </row>
    <row r="37" customFormat="false" ht="15" hidden="false" customHeight="false" outlineLevel="0" collapsed="false">
      <c r="A37" s="1" t="n">
        <v>4</v>
      </c>
      <c r="B37" s="1" t="n">
        <f aca="false">ROUND(prod_base*prod_growth^(A37-1),0)</f>
        <v>36</v>
      </c>
      <c r="C37" s="1" t="n">
        <f aca="false">ROUND(prod_base*prod_growth^(A37-1)*24,0)</f>
        <v>872</v>
      </c>
      <c r="D37" s="1" t="n">
        <f aca="false">B37*workshop_buffer_h</f>
        <v>360</v>
      </c>
      <c r="E37" s="1" t="n">
        <f aca="false">D37*offline_store_mult</f>
        <v>720</v>
      </c>
      <c r="F37" s="1" t="n">
        <f aca="false">IF(A37=1,0,ROUND(cost_workshop_stone*1*cost_growth^(A37-2)*IF(A37&lt;=4,stage_early,IF(A37&lt;=stage_mid_level,stage_mid,IF(A37&lt;=stage_late_level,stage_normal,stage_late))),0))</f>
        <v>101</v>
      </c>
      <c r="G37" s="1" t="n">
        <f aca="false">IF(A37=1,0,ROUND(cost_workshop_wood*1*cost_growth^(A37-2)*IF(A37&lt;=4,stage_early,IF(A37&lt;=stage_mid_level,stage_mid,IF(A37&lt;=stage_late_level,stage_normal,stage_late))),0))</f>
        <v>68</v>
      </c>
      <c r="H37" s="1" t="n">
        <f aca="false">IF(A37=1,0,ROUND(cost_workshop_bone*1*cost_growth^(A37-2)*IF(A37&lt;=4,stage_early,IF(A37&lt;=stage_mid_level,stage_mid,IF(A37&lt;=stage_late_level,stage_normal,stage_late))),0))</f>
        <v>27</v>
      </c>
      <c r="I37" s="1" t="n">
        <f aca="false">IF(A37=1,0,ROUND(build_time_base_min*time_coef_workshop*time_growth^(A37-2)*IF(A37&lt;=4,stage_early,IF(A37&lt;=stage_mid_level,stage_mid,IF(A37&lt;=stage_late_level,stage_normal,stage_late)))/60,1))</f>
        <v>0.1</v>
      </c>
    </row>
    <row r="38" customFormat="false" ht="15" hidden="false" customHeight="false" outlineLevel="0" collapsed="false">
      <c r="A38" s="1" t="n">
        <v>5</v>
      </c>
      <c r="B38" s="1" t="n">
        <f aca="false">ROUND(prod_base*prod_growth^(A38-1),0)</f>
        <v>44</v>
      </c>
      <c r="C38" s="1" t="n">
        <f aca="false">ROUND(prod_base*prod_growth^(A38-1)*24,0)</f>
        <v>1063</v>
      </c>
      <c r="D38" s="1" t="n">
        <f aca="false">B38*workshop_buffer_h</f>
        <v>440</v>
      </c>
      <c r="E38" s="1" t="n">
        <f aca="false">D38*offline_store_mult</f>
        <v>880</v>
      </c>
      <c r="F38" s="1" t="n">
        <f aca="false">IF(A38=1,0,ROUND(cost_workshop_stone*1*cost_growth^(A38-2)*IF(A38&lt;=4,stage_early,IF(A38&lt;=stage_mid_level,stage_mid,IF(A38&lt;=stage_late_level,stage_normal,stage_late))),0))</f>
        <v>231</v>
      </c>
      <c r="G38" s="1" t="n">
        <f aca="false">IF(A38=1,0,ROUND(cost_workshop_wood*1*cost_growth^(A38-2)*IF(A38&lt;=4,stage_early,IF(A38&lt;=stage_mid_level,stage_mid,IF(A38&lt;=stage_late_level,stage_normal,stage_late))),0))</f>
        <v>154</v>
      </c>
      <c r="H38" s="1" t="n">
        <f aca="false">IF(A38=1,0,ROUND(cost_workshop_bone*1*cost_growth^(A38-2)*IF(A38&lt;=4,stage_early,IF(A38&lt;=stage_mid_level,stage_mid,IF(A38&lt;=stage_late_level,stage_normal,stage_late))),0))</f>
        <v>62</v>
      </c>
      <c r="I38" s="1" t="n">
        <f aca="false">IF(A38=1,0,ROUND(build_time_base_min*time_coef_workshop*time_growth^(A38-2)*IF(A38&lt;=4,stage_early,IF(A38&lt;=stage_mid_level,stage_mid,IF(A38&lt;=stage_late_level,stage_normal,stage_late)))/60,1))</f>
        <v>0.3</v>
      </c>
    </row>
    <row r="39" customFormat="false" ht="15" hidden="false" customHeight="false" outlineLevel="0" collapsed="false">
      <c r="A39" s="1" t="n">
        <v>6</v>
      </c>
      <c r="B39" s="1" t="n">
        <f aca="false">ROUND(prod_base*prod_growth^(A39-1),0)</f>
        <v>54</v>
      </c>
      <c r="C39" s="1" t="n">
        <f aca="false">ROUND(prod_base*prod_growth^(A39-1)*24,0)</f>
        <v>1297</v>
      </c>
      <c r="D39" s="1" t="n">
        <f aca="false">B39*workshop_buffer_h</f>
        <v>540</v>
      </c>
      <c r="E39" s="1" t="n">
        <f aca="false">D39*offline_store_mult</f>
        <v>1080</v>
      </c>
      <c r="F39" s="1" t="n">
        <f aca="false">IF(A39=1,0,ROUND(cost_workshop_stone*1*cost_growth^(A39-2)*IF(A39&lt;=4,stage_early,IF(A39&lt;=stage_mid_level,stage_mid,IF(A39&lt;=stage_late_level,stage_normal,stage_late))),0))</f>
        <v>300</v>
      </c>
      <c r="G39" s="1" t="n">
        <f aca="false">IF(A39=1,0,ROUND(cost_workshop_wood*1*cost_growth^(A39-2)*IF(A39&lt;=4,stage_early,IF(A39&lt;=stage_mid_level,stage_mid,IF(A39&lt;=stage_late_level,stage_normal,stage_late))),0))</f>
        <v>200</v>
      </c>
      <c r="H39" s="1" t="n">
        <f aca="false">IF(A39=1,0,ROUND(cost_workshop_bone*1*cost_growth^(A39-2)*IF(A39&lt;=4,stage_early,IF(A39&lt;=stage_mid_level,stage_mid,IF(A39&lt;=stage_late_level,stage_normal,stage_late))),0))</f>
        <v>80</v>
      </c>
      <c r="I39" s="1" t="n">
        <f aca="false">IF(A39=1,0,ROUND(build_time_base_min*time_coef_workshop*time_growth^(A39-2)*IF(A39&lt;=4,stage_early,IF(A39&lt;=stage_mid_level,stage_mid,IF(A39&lt;=stage_late_level,stage_normal,stage_late)))/60,1))</f>
        <v>0.3</v>
      </c>
    </row>
    <row r="40" customFormat="false" ht="15" hidden="false" customHeight="false" outlineLevel="0" collapsed="false">
      <c r="A40" s="1" t="n">
        <v>7</v>
      </c>
      <c r="B40" s="1" t="n">
        <f aca="false">ROUND(prod_base*prod_growth^(A40-1),0)</f>
        <v>66</v>
      </c>
      <c r="C40" s="1" t="n">
        <f aca="false">ROUND(prod_base*prod_growth^(A40-1)*24,0)</f>
        <v>1583</v>
      </c>
      <c r="D40" s="1" t="n">
        <f aca="false">B40*workshop_buffer_h</f>
        <v>660</v>
      </c>
      <c r="E40" s="1" t="n">
        <f aca="false">D40*offline_store_mult</f>
        <v>1320</v>
      </c>
      <c r="F40" s="1" t="n">
        <f aca="false">IF(A40=1,0,ROUND(cost_workshop_stone*1*cost_growth^(A40-2)*IF(A40&lt;=4,stage_early,IF(A40&lt;=stage_mid_level,stage_mid,IF(A40&lt;=stage_late_level,stage_normal,stage_late))),0))</f>
        <v>390</v>
      </c>
      <c r="G40" s="1" t="n">
        <f aca="false">IF(A40=1,0,ROUND(cost_workshop_wood*1*cost_growth^(A40-2)*IF(A40&lt;=4,stage_early,IF(A40&lt;=stage_mid_level,stage_mid,IF(A40&lt;=stage_late_level,stage_normal,stage_late))),0))</f>
        <v>260</v>
      </c>
      <c r="H40" s="1" t="n">
        <f aca="false">IF(A40=1,0,ROUND(cost_workshop_bone*1*cost_growth^(A40-2)*IF(A40&lt;=4,stage_early,IF(A40&lt;=stage_mid_level,stage_mid,IF(A40&lt;=stage_late_level,stage_normal,stage_late))),0))</f>
        <v>104</v>
      </c>
      <c r="I40" s="1" t="n">
        <f aca="false">IF(A40=1,0,ROUND(build_time_base_min*time_coef_workshop*time_growth^(A40-2)*IF(A40&lt;=4,stage_early,IF(A40&lt;=stage_mid_level,stage_mid,IF(A40&lt;=stage_late_level,stage_normal,stage_late)))/60,1))</f>
        <v>0.4</v>
      </c>
    </row>
    <row r="41" customFormat="false" ht="15" hidden="false" customHeight="false" outlineLevel="0" collapsed="false">
      <c r="A41" s="1" t="n">
        <v>8</v>
      </c>
      <c r="B41" s="1" t="n">
        <f aca="false">ROUND(prod_base*prod_growth^(A41-1),0)</f>
        <v>80</v>
      </c>
      <c r="C41" s="1" t="n">
        <f aca="false">ROUND(prod_base*prod_growth^(A41-1)*24,0)</f>
        <v>1931</v>
      </c>
      <c r="D41" s="1" t="n">
        <f aca="false">B41*workshop_buffer_h</f>
        <v>800</v>
      </c>
      <c r="E41" s="1" t="n">
        <f aca="false">D41*offline_store_mult</f>
        <v>1600</v>
      </c>
      <c r="F41" s="1" t="n">
        <f aca="false">IF(A41=1,0,ROUND(cost_workshop_stone*1*cost_growth^(A41-2)*IF(A41&lt;=4,stage_early,IF(A41&lt;=stage_mid_level,stage_mid,IF(A41&lt;=stage_late_level,stage_normal,stage_late))),0))</f>
        <v>507</v>
      </c>
      <c r="G41" s="1" t="n">
        <f aca="false">IF(A41=1,0,ROUND(cost_workshop_wood*1*cost_growth^(A41-2)*IF(A41&lt;=4,stage_early,IF(A41&lt;=stage_mid_level,stage_mid,IF(A41&lt;=stage_late_level,stage_normal,stage_late))),0))</f>
        <v>338</v>
      </c>
      <c r="H41" s="1" t="n">
        <f aca="false">IF(A41=1,0,ROUND(cost_workshop_bone*1*cost_growth^(A41-2)*IF(A41&lt;=4,stage_early,IF(A41&lt;=stage_mid_level,stage_mid,IF(A41&lt;=stage_late_level,stage_normal,stage_late))),0))</f>
        <v>135</v>
      </c>
      <c r="I41" s="1" t="n">
        <f aca="false">IF(A41=1,0,ROUND(build_time_base_min*time_coef_workshop*time_growth^(A41-2)*IF(A41&lt;=4,stage_early,IF(A41&lt;=stage_mid_level,stage_mid,IF(A41&lt;=stage_late_level,stage_normal,stage_late)))/60,1))</f>
        <v>0.5</v>
      </c>
    </row>
    <row r="42" customFormat="false" ht="15" hidden="false" customHeight="false" outlineLevel="0" collapsed="false">
      <c r="A42" s="1" t="n">
        <v>9</v>
      </c>
      <c r="B42" s="1" t="n">
        <f aca="false">ROUND(prod_base*prod_growth^(A42-1),0)</f>
        <v>98</v>
      </c>
      <c r="C42" s="1" t="n">
        <f aca="false">ROUND(prod_base*prod_growth^(A42-1)*24,0)</f>
        <v>2356</v>
      </c>
      <c r="D42" s="1" t="n">
        <f aca="false">B42*workshop_buffer_h</f>
        <v>980</v>
      </c>
      <c r="E42" s="1" t="n">
        <f aca="false">D42*offline_store_mult</f>
        <v>1960</v>
      </c>
      <c r="F42" s="1" t="n">
        <f aca="false">IF(A42=1,0,ROUND(cost_workshop_stone*1*cost_growth^(A42-2)*IF(A42&lt;=4,stage_early,IF(A42&lt;=stage_mid_level,stage_mid,IF(A42&lt;=stage_late_level,stage_normal,stage_late))),0))</f>
        <v>659</v>
      </c>
      <c r="G42" s="1" t="n">
        <f aca="false">IF(A42=1,0,ROUND(cost_workshop_wood*1*cost_growth^(A42-2)*IF(A42&lt;=4,stage_early,IF(A42&lt;=stage_mid_level,stage_mid,IF(A42&lt;=stage_late_level,stage_normal,stage_late))),0))</f>
        <v>439</v>
      </c>
      <c r="H42" s="1" t="n">
        <f aca="false">IF(A42=1,0,ROUND(cost_workshop_bone*1*cost_growth^(A42-2)*IF(A42&lt;=4,stage_early,IF(A42&lt;=stage_mid_level,stage_mid,IF(A42&lt;=stage_late_level,stage_normal,stage_late))),0))</f>
        <v>176</v>
      </c>
      <c r="I42" s="1" t="n">
        <f aca="false">IF(A42=1,0,ROUND(build_time_base_min*time_coef_workshop*time_growth^(A42-2)*IF(A42&lt;=4,stage_early,IF(A42&lt;=stage_mid_level,stage_mid,IF(A42&lt;=stage_late_level,stage_normal,stage_late)))/60,1))</f>
        <v>0.7</v>
      </c>
    </row>
    <row r="43" customFormat="false" ht="15" hidden="false" customHeight="false" outlineLevel="0" collapsed="false">
      <c r="A43" s="1" t="n">
        <v>10</v>
      </c>
      <c r="B43" s="1" t="n">
        <f aca="false">ROUND(prod_base*prod_growth^(A43-1),0)</f>
        <v>120</v>
      </c>
      <c r="C43" s="1" t="n">
        <f aca="false">ROUND(prod_base*prod_growth^(A43-1)*24,0)</f>
        <v>2874</v>
      </c>
      <c r="D43" s="1" t="n">
        <f aca="false">B43*workshop_buffer_h</f>
        <v>1200</v>
      </c>
      <c r="E43" s="1" t="n">
        <f aca="false">D43*offline_store_mult</f>
        <v>2400</v>
      </c>
      <c r="F43" s="1" t="n">
        <f aca="false">IF(A43=1,0,ROUND(cost_workshop_stone*1*cost_growth^(A43-2)*IF(A43&lt;=4,stage_early,IF(A43&lt;=stage_mid_level,stage_mid,IF(A43&lt;=stage_late_level,stage_normal,stage_late))),0))</f>
        <v>857</v>
      </c>
      <c r="G43" s="1" t="n">
        <f aca="false">IF(A43=1,0,ROUND(cost_workshop_wood*1*cost_growth^(A43-2)*IF(A43&lt;=4,stage_early,IF(A43&lt;=stage_mid_level,stage_mid,IF(A43&lt;=stage_late_level,stage_normal,stage_late))),0))</f>
        <v>571</v>
      </c>
      <c r="H43" s="1" t="n">
        <f aca="false">IF(A43=1,0,ROUND(cost_workshop_bone*1*cost_growth^(A43-2)*IF(A43&lt;=4,stage_early,IF(A43&lt;=stage_mid_level,stage_mid,IF(A43&lt;=stage_late_level,stage_normal,stage_late))),0))</f>
        <v>228</v>
      </c>
      <c r="I43" s="1" t="n">
        <f aca="false">IF(A43=1,0,ROUND(build_time_base_min*time_coef_workshop*time_growth^(A43-2)*IF(A43&lt;=4,stage_early,IF(A43&lt;=stage_mid_level,stage_mid,IF(A43&lt;=stage_late_level,stage_normal,stage_late)))/60,1))</f>
        <v>0.8</v>
      </c>
    </row>
    <row r="44" customFormat="false" ht="15" hidden="false" customHeight="false" outlineLevel="0" collapsed="false">
      <c r="A44" s="1" t="n">
        <v>11</v>
      </c>
      <c r="B44" s="1" t="n">
        <f aca="false">ROUND(prod_base*prod_growth^(A44-1),0)</f>
        <v>146</v>
      </c>
      <c r="C44" s="1" t="n">
        <f aca="false">ROUND(prod_base*prod_growth^(A44-1)*24,0)</f>
        <v>3506</v>
      </c>
      <c r="D44" s="1" t="n">
        <f aca="false">B44*workshop_buffer_h</f>
        <v>1460</v>
      </c>
      <c r="E44" s="1" t="n">
        <f aca="false">D44*offline_store_mult</f>
        <v>2920</v>
      </c>
      <c r="F44" s="1" t="n">
        <f aca="false">IF(A44=1,0,ROUND(cost_workshop_stone*1*cost_growth^(A44-2)*IF(A44&lt;=4,stage_early,IF(A44&lt;=stage_mid_level,stage_mid,IF(A44&lt;=stage_late_level,stage_normal,stage_late))),0))</f>
        <v>1591</v>
      </c>
      <c r="G44" s="1" t="n">
        <f aca="false">IF(A44=1,0,ROUND(cost_workshop_wood*1*cost_growth^(A44-2)*IF(A44&lt;=4,stage_early,IF(A44&lt;=stage_mid_level,stage_mid,IF(A44&lt;=stage_late_level,stage_normal,stage_late))),0))</f>
        <v>1060</v>
      </c>
      <c r="H44" s="1" t="n">
        <f aca="false">IF(A44=1,0,ROUND(cost_workshop_bone*1*cost_growth^(A44-2)*IF(A44&lt;=4,stage_early,IF(A44&lt;=stage_mid_level,stage_mid,IF(A44&lt;=stage_late_level,stage_normal,stage_late))),0))</f>
        <v>424</v>
      </c>
      <c r="I44" s="1" t="n">
        <f aca="false">IF(A44=1,0,ROUND(build_time_base_min*time_coef_workshop*time_growth^(A44-2)*IF(A44&lt;=4,stage_early,IF(A44&lt;=stage_mid_level,stage_mid,IF(A44&lt;=stage_late_level,stage_normal,stage_late)))/60,1))</f>
        <v>1.5</v>
      </c>
    </row>
    <row r="45" customFormat="false" ht="15" hidden="false" customHeight="false" outlineLevel="0" collapsed="false">
      <c r="A45" s="1" t="n">
        <v>12</v>
      </c>
      <c r="B45" s="1" t="n">
        <f aca="false">ROUND(prod_base*prod_growth^(A45-1),0)</f>
        <v>178</v>
      </c>
      <c r="C45" s="1" t="n">
        <f aca="false">ROUND(prod_base*prod_growth^(A45-1)*24,0)</f>
        <v>4278</v>
      </c>
      <c r="D45" s="1" t="n">
        <f aca="false">B45*workshop_buffer_h</f>
        <v>1780</v>
      </c>
      <c r="E45" s="1" t="n">
        <f aca="false">D45*offline_store_mult</f>
        <v>3560</v>
      </c>
      <c r="F45" s="1" t="n">
        <f aca="false">IF(A45=1,0,ROUND(cost_workshop_stone*1*cost_growth^(A45-2)*IF(A45&lt;=4,stage_early,IF(A45&lt;=stage_mid_level,stage_mid,IF(A45&lt;=stage_late_level,stage_normal,stage_late))),0))</f>
        <v>2068</v>
      </c>
      <c r="G45" s="1" t="n">
        <f aca="false">IF(A45=1,0,ROUND(cost_workshop_wood*1*cost_growth^(A45-2)*IF(A45&lt;=4,stage_early,IF(A45&lt;=stage_mid_level,stage_mid,IF(A45&lt;=stage_late_level,stage_normal,stage_late))),0))</f>
        <v>1379</v>
      </c>
      <c r="H45" s="1" t="n">
        <f aca="false">IF(A45=1,0,ROUND(cost_workshop_bone*1*cost_growth^(A45-2)*IF(A45&lt;=4,stage_early,IF(A45&lt;=stage_mid_level,stage_mid,IF(A45&lt;=stage_late_level,stage_normal,stage_late))),0))</f>
        <v>551</v>
      </c>
      <c r="I45" s="1" t="n">
        <f aca="false">IF(A45=1,0,ROUND(build_time_base_min*time_coef_workshop*time_growth^(A45-2)*IF(A45&lt;=4,stage_early,IF(A45&lt;=stage_mid_level,stage_mid,IF(A45&lt;=stage_late_level,stage_normal,stage_late)))/60,1))</f>
        <v>1.9</v>
      </c>
    </row>
    <row r="46" customFormat="false" ht="15" hidden="false" customHeight="false" outlineLevel="0" collapsed="false">
      <c r="A46" s="1" t="n">
        <v>13</v>
      </c>
      <c r="B46" s="1" t="n">
        <f aca="false">ROUND(prod_base*prod_growth^(A46-1),0)</f>
        <v>217</v>
      </c>
      <c r="C46" s="1" t="n">
        <f aca="false">ROUND(prod_base*prod_growth^(A46-1)*24,0)</f>
        <v>5219</v>
      </c>
      <c r="D46" s="1" t="n">
        <f aca="false">B46*workshop_buffer_h</f>
        <v>2170</v>
      </c>
      <c r="E46" s="1" t="n">
        <f aca="false">D46*offline_store_mult</f>
        <v>4340</v>
      </c>
      <c r="F46" s="1" t="n">
        <f aca="false">IF(A46=1,0,ROUND(cost_workshop_stone*1*cost_growth^(A46-2)*IF(A46&lt;=4,stage_early,IF(A46&lt;=stage_mid_level,stage_mid,IF(A46&lt;=stage_late_level,stage_normal,stage_late))),0))</f>
        <v>2688</v>
      </c>
      <c r="G46" s="1" t="n">
        <f aca="false">IF(A46=1,0,ROUND(cost_workshop_wood*1*cost_growth^(A46-2)*IF(A46&lt;=4,stage_early,IF(A46&lt;=stage_mid_level,stage_mid,IF(A46&lt;=stage_late_level,stage_normal,stage_late))),0))</f>
        <v>1792</v>
      </c>
      <c r="H46" s="1" t="n">
        <f aca="false">IF(A46=1,0,ROUND(cost_workshop_bone*1*cost_growth^(A46-2)*IF(A46&lt;=4,stage_early,IF(A46&lt;=stage_mid_level,stage_mid,IF(A46&lt;=stage_late_level,stage_normal,stage_late))),0))</f>
        <v>717</v>
      </c>
      <c r="I46" s="1" t="n">
        <f aca="false">IF(A46=1,0,ROUND(build_time_base_min*time_coef_workshop*time_growth^(A46-2)*IF(A46&lt;=4,stage_early,IF(A46&lt;=stage_mid_level,stage_mid,IF(A46&lt;=stage_late_level,stage_normal,stage_late)))/60,1))</f>
        <v>2.3</v>
      </c>
    </row>
    <row r="47" customFormat="false" ht="15" hidden="false" customHeight="false" outlineLevel="0" collapsed="false">
      <c r="A47" s="1" t="n">
        <v>14</v>
      </c>
      <c r="B47" s="1" t="n">
        <f aca="false">ROUND(prod_base*prod_growth^(A47-1),0)</f>
        <v>265</v>
      </c>
      <c r="C47" s="1" t="n">
        <f aca="false">ROUND(prod_base*prod_growth^(A47-1)*24,0)</f>
        <v>6367</v>
      </c>
      <c r="D47" s="1" t="n">
        <f aca="false">B47*workshop_buffer_h</f>
        <v>2650</v>
      </c>
      <c r="E47" s="1" t="n">
        <f aca="false">D47*offline_store_mult</f>
        <v>5300</v>
      </c>
      <c r="F47" s="1" t="n">
        <f aca="false">IF(A47=1,0,ROUND(cost_workshop_stone*1*cost_growth^(A47-2)*IF(A47&lt;=4,stage_early,IF(A47&lt;=stage_mid_level,stage_mid,IF(A47&lt;=stage_late_level,stage_normal,stage_late))),0))</f>
        <v>3495</v>
      </c>
      <c r="G47" s="1" t="n">
        <f aca="false">IF(A47=1,0,ROUND(cost_workshop_wood*1*cost_growth^(A47-2)*IF(A47&lt;=4,stage_early,IF(A47&lt;=stage_mid_level,stage_mid,IF(A47&lt;=stage_late_level,stage_normal,stage_late))),0))</f>
        <v>2330</v>
      </c>
      <c r="H47" s="1" t="n">
        <f aca="false">IF(A47=1,0,ROUND(cost_workshop_bone*1*cost_growth^(A47-2)*IF(A47&lt;=4,stage_early,IF(A47&lt;=stage_mid_level,stage_mid,IF(A47&lt;=stage_late_level,stage_normal,stage_late))),0))</f>
        <v>932</v>
      </c>
      <c r="I47" s="1" t="n">
        <f aca="false">IF(A47=1,0,ROUND(build_time_base_min*time_coef_workshop*time_growth^(A47-2)*IF(A47&lt;=4,stage_early,IF(A47&lt;=stage_mid_level,stage_mid,IF(A47&lt;=stage_late_level,stage_normal,stage_late)))/60,1))</f>
        <v>2.9</v>
      </c>
    </row>
    <row r="48" customFormat="false" ht="15" hidden="false" customHeight="false" outlineLevel="0" collapsed="false">
      <c r="A48" s="1" t="n">
        <v>15</v>
      </c>
      <c r="B48" s="1" t="n">
        <f aca="false">ROUND(prod_base*prod_growth^(A48-1),0)</f>
        <v>324</v>
      </c>
      <c r="C48" s="1" t="n">
        <f aca="false">ROUND(prod_base*prod_growth^(A48-1)*24,0)</f>
        <v>7767</v>
      </c>
      <c r="D48" s="1" t="n">
        <f aca="false">B48*workshop_buffer_h</f>
        <v>3240</v>
      </c>
      <c r="E48" s="1" t="n">
        <f aca="false">D48*offline_store_mult</f>
        <v>6480</v>
      </c>
      <c r="F48" s="1" t="n">
        <f aca="false">IF(A48=1,0,ROUND(cost_workshop_stone*1*cost_growth^(A48-2)*IF(A48&lt;=4,stage_early,IF(A48&lt;=stage_mid_level,stage_mid,IF(A48&lt;=stage_late_level,stage_normal,stage_late))),0))</f>
        <v>4543</v>
      </c>
      <c r="G48" s="1" t="n">
        <f aca="false">IF(A48=1,0,ROUND(cost_workshop_wood*1*cost_growth^(A48-2)*IF(A48&lt;=4,stage_early,IF(A48&lt;=stage_mid_level,stage_mid,IF(A48&lt;=stage_late_level,stage_normal,stage_late))),0))</f>
        <v>3029</v>
      </c>
      <c r="H48" s="1" t="n">
        <f aca="false">IF(A48=1,0,ROUND(cost_workshop_bone*1*cost_growth^(A48-2)*IF(A48&lt;=4,stage_early,IF(A48&lt;=stage_mid_level,stage_mid,IF(A48&lt;=stage_late_level,stage_normal,stage_late))),0))</f>
        <v>1212</v>
      </c>
      <c r="I48" s="1" t="n">
        <f aca="false">IF(A48=1,0,ROUND(build_time_base_min*time_coef_workshop*time_growth^(A48-2)*IF(A48&lt;=4,stage_early,IF(A48&lt;=stage_mid_level,stage_mid,IF(A48&lt;=stage_late_level,stage_normal,stage_late)))/60,1))</f>
        <v>3.6</v>
      </c>
    </row>
    <row r="49" customFormat="false" ht="15" hidden="false" customHeight="false" outlineLevel="0" collapsed="false">
      <c r="A49" s="1" t="n">
        <v>16</v>
      </c>
      <c r="B49" s="1" t="n">
        <f aca="false">ROUND(prod_base*prod_growth^(A49-1),0)</f>
        <v>395</v>
      </c>
      <c r="C49" s="1" t="n">
        <f aca="false">ROUND(prod_base*prod_growth^(A49-1)*24,0)</f>
        <v>9476</v>
      </c>
      <c r="D49" s="1" t="n">
        <f aca="false">B49*workshop_buffer_h</f>
        <v>3950</v>
      </c>
      <c r="E49" s="1" t="n">
        <f aca="false">D49*offline_store_mult</f>
        <v>7900</v>
      </c>
      <c r="F49" s="1" t="n">
        <f aca="false">IF(A49=1,0,ROUND(cost_workshop_stone*1*cost_growth^(A49-2)*IF(A49&lt;=4,stage_early,IF(A49&lt;=stage_mid_level,stage_mid,IF(A49&lt;=stage_late_level,stage_normal,stage_late))),0))</f>
        <v>7383</v>
      </c>
      <c r="G49" s="1" t="n">
        <f aca="false">IF(A49=1,0,ROUND(cost_workshop_wood*1*cost_growth^(A49-2)*IF(A49&lt;=4,stage_early,IF(A49&lt;=stage_mid_level,stage_mid,IF(A49&lt;=stage_late_level,stage_normal,stage_late))),0))</f>
        <v>4922</v>
      </c>
      <c r="H49" s="1" t="n">
        <f aca="false">IF(A49=1,0,ROUND(cost_workshop_bone*1*cost_growth^(A49-2)*IF(A49&lt;=4,stage_early,IF(A49&lt;=stage_mid_level,stage_mid,IF(A49&lt;=stage_late_level,stage_normal,stage_late))),0))</f>
        <v>1969</v>
      </c>
      <c r="I49" s="1" t="n">
        <f aca="false">IF(A49=1,0,ROUND(build_time_base_min*time_coef_workshop*time_growth^(A49-2)*IF(A49&lt;=4,stage_early,IF(A49&lt;=stage_mid_level,stage_mid,IF(A49&lt;=stage_late_level,stage_normal,stage_late)))/60,1))</f>
        <v>5.7</v>
      </c>
    </row>
    <row r="50" customFormat="false" ht="15" hidden="false" customHeight="false" outlineLevel="0" collapsed="false">
      <c r="A50" s="1" t="n">
        <v>17</v>
      </c>
      <c r="B50" s="1" t="n">
        <f aca="false">ROUND(prod_base*prod_growth^(A50-1),0)</f>
        <v>482</v>
      </c>
      <c r="C50" s="1" t="n">
        <f aca="false">ROUND(prod_base*prod_growth^(A50-1)*24,0)</f>
        <v>11561</v>
      </c>
      <c r="D50" s="1" t="n">
        <f aca="false">B50*workshop_buffer_h</f>
        <v>4820</v>
      </c>
      <c r="E50" s="1" t="n">
        <f aca="false">D50*offline_store_mult</f>
        <v>9640</v>
      </c>
      <c r="F50" s="1" t="n">
        <f aca="false">IF(A50=1,0,ROUND(cost_workshop_stone*1*cost_growth^(A50-2)*IF(A50&lt;=4,stage_early,IF(A50&lt;=stage_mid_level,stage_mid,IF(A50&lt;=stage_late_level,stage_normal,stage_late))),0))</f>
        <v>9597</v>
      </c>
      <c r="G50" s="1" t="n">
        <f aca="false">IF(A50=1,0,ROUND(cost_workshop_wood*1*cost_growth^(A50-2)*IF(A50&lt;=4,stage_early,IF(A50&lt;=stage_mid_level,stage_mid,IF(A50&lt;=stage_late_level,stage_normal,stage_late))),0))</f>
        <v>6398</v>
      </c>
      <c r="H50" s="1" t="n">
        <f aca="false">IF(A50=1,0,ROUND(cost_workshop_bone*1*cost_growth^(A50-2)*IF(A50&lt;=4,stage_early,IF(A50&lt;=stage_mid_level,stage_mid,IF(A50&lt;=stage_late_level,stage_normal,stage_late))),0))</f>
        <v>2559</v>
      </c>
      <c r="I50" s="1" t="n">
        <f aca="false">IF(A50=1,0,ROUND(build_time_base_min*time_coef_workshop*time_growth^(A50-2)*IF(A50&lt;=4,stage_early,IF(A50&lt;=stage_mid_level,stage_mid,IF(A50&lt;=stage_late_level,stage_normal,stage_late)))/60,1))</f>
        <v>7.1</v>
      </c>
    </row>
    <row r="51" customFormat="false" ht="15" hidden="false" customHeight="false" outlineLevel="0" collapsed="false">
      <c r="A51" s="1" t="n">
        <v>18</v>
      </c>
      <c r="B51" s="1" t="n">
        <f aca="false">ROUND(prod_base*prod_growth^(A51-1),0)</f>
        <v>588</v>
      </c>
      <c r="C51" s="1" t="n">
        <f aca="false">ROUND(prod_base*prod_growth^(A51-1)*24,0)</f>
        <v>14105</v>
      </c>
      <c r="D51" s="1" t="n">
        <f aca="false">B51*workshop_buffer_h</f>
        <v>5880</v>
      </c>
      <c r="E51" s="1" t="n">
        <f aca="false">D51*offline_store_mult</f>
        <v>11760</v>
      </c>
      <c r="F51" s="1" t="n">
        <f aca="false">IF(A51=1,0,ROUND(cost_workshop_stone*1*cost_growth^(A51-2)*IF(A51&lt;=4,stage_early,IF(A51&lt;=stage_mid_level,stage_mid,IF(A51&lt;=stage_late_level,stage_normal,stage_late))),0))</f>
        <v>12477</v>
      </c>
      <c r="G51" s="1" t="n">
        <f aca="false">IF(A51=1,0,ROUND(cost_workshop_wood*1*cost_growth^(A51-2)*IF(A51&lt;=4,stage_early,IF(A51&lt;=stage_mid_level,stage_mid,IF(A51&lt;=stage_late_level,stage_normal,stage_late))),0))</f>
        <v>8318</v>
      </c>
      <c r="H51" s="1" t="n">
        <f aca="false">IF(A51=1,0,ROUND(cost_workshop_bone*1*cost_growth^(A51-2)*IF(A51&lt;=4,stage_early,IF(A51&lt;=stage_mid_level,stage_mid,IF(A51&lt;=stage_late_level,stage_normal,stage_late))),0))</f>
        <v>3327</v>
      </c>
      <c r="I51" s="1" t="n">
        <f aca="false">IF(A51=1,0,ROUND(build_time_base_min*time_coef_workshop*time_growth^(A51-2)*IF(A51&lt;=4,stage_early,IF(A51&lt;=stage_mid_level,stage_mid,IF(A51&lt;=stage_late_level,stage_normal,stage_late)))/60,1))</f>
        <v>8.9</v>
      </c>
    </row>
    <row r="52" customFormat="false" ht="15" hidden="false" customHeight="false" outlineLevel="0" collapsed="false">
      <c r="A52" s="1" t="n">
        <v>19</v>
      </c>
      <c r="B52" s="1" t="n">
        <f aca="false">ROUND(prod_base*prod_growth^(A52-1),0)</f>
        <v>717</v>
      </c>
      <c r="C52" s="1" t="n">
        <f aca="false">ROUND(prod_base*prod_growth^(A52-1)*24,0)</f>
        <v>17208</v>
      </c>
      <c r="D52" s="1" t="n">
        <f aca="false">B52*workshop_buffer_h</f>
        <v>7170</v>
      </c>
      <c r="E52" s="1" t="n">
        <f aca="false">D52*offline_store_mult</f>
        <v>14340</v>
      </c>
      <c r="F52" s="1" t="n">
        <f aca="false">IF(A52=1,0,ROUND(cost_workshop_stone*1*cost_growth^(A52-2)*IF(A52&lt;=4,stage_early,IF(A52&lt;=stage_mid_level,stage_mid,IF(A52&lt;=stage_late_level,stage_normal,stage_late))),0))</f>
        <v>16220</v>
      </c>
      <c r="G52" s="1" t="n">
        <f aca="false">IF(A52=1,0,ROUND(cost_workshop_wood*1*cost_growth^(A52-2)*IF(A52&lt;=4,stage_early,IF(A52&lt;=stage_mid_level,stage_mid,IF(A52&lt;=stage_late_level,stage_normal,stage_late))),0))</f>
        <v>10813</v>
      </c>
      <c r="H52" s="1" t="n">
        <f aca="false">IF(A52=1,0,ROUND(cost_workshop_bone*1*cost_growth^(A52-2)*IF(A52&lt;=4,stage_early,IF(A52&lt;=stage_mid_level,stage_mid,IF(A52&lt;=stage_late_level,stage_normal,stage_late))),0))</f>
        <v>4325</v>
      </c>
      <c r="I52" s="1" t="n">
        <f aca="false">IF(A52=1,0,ROUND(build_time_base_min*time_coef_workshop*time_growth^(A52-2)*IF(A52&lt;=4,stage_early,IF(A52&lt;=stage_mid_level,stage_mid,IF(A52&lt;=stage_late_level,stage_normal,stage_late)))/60,1))</f>
        <v>11.1</v>
      </c>
    </row>
    <row r="53" customFormat="false" ht="15" hidden="false" customHeight="false" outlineLevel="0" collapsed="false">
      <c r="A53" s="1" t="n">
        <v>20</v>
      </c>
      <c r="B53" s="1" t="n">
        <f aca="false">ROUND(prod_base*prod_growth^(A53-1),0)</f>
        <v>875</v>
      </c>
      <c r="C53" s="1" t="n">
        <f aca="false">ROUND(prod_base*prod_growth^(A53-1)*24,0)</f>
        <v>20993</v>
      </c>
      <c r="D53" s="1" t="n">
        <f aca="false">B53*workshop_buffer_h</f>
        <v>8750</v>
      </c>
      <c r="E53" s="1" t="n">
        <f aca="false">D53*offline_store_mult</f>
        <v>17500</v>
      </c>
      <c r="F53" s="1" t="n">
        <f aca="false">IF(A53=1,0,ROUND(cost_workshop_stone*1*cost_growth^(A53-2)*IF(A53&lt;=4,stage_early,IF(A53&lt;=stage_mid_level,stage_mid,IF(A53&lt;=stage_late_level,stage_normal,stage_late))),0))</f>
        <v>21085</v>
      </c>
      <c r="G53" s="1" t="n">
        <f aca="false">IF(A53=1,0,ROUND(cost_workshop_wood*1*cost_growth^(A53-2)*IF(A53&lt;=4,stage_early,IF(A53&lt;=stage_mid_level,stage_mid,IF(A53&lt;=stage_late_level,stage_normal,stage_late))),0))</f>
        <v>14057</v>
      </c>
      <c r="H53" s="1" t="n">
        <f aca="false">IF(A53=1,0,ROUND(cost_workshop_bone*1*cost_growth^(A53-2)*IF(A53&lt;=4,stage_early,IF(A53&lt;=stage_mid_level,stage_mid,IF(A53&lt;=stage_late_level,stage_normal,stage_late))),0))</f>
        <v>5623</v>
      </c>
      <c r="I53" s="1" t="n">
        <f aca="false">IF(A53=1,0,ROUND(build_time_base_min*time_coef_workshop*time_growth^(A53-2)*IF(A53&lt;=4,stage_early,IF(A53&lt;=stage_mid_level,stage_mid,IF(A53&lt;=stage_late_level,stage_normal,stage_late)))/60,1))</f>
        <v>13.9</v>
      </c>
    </row>
    <row r="54" customFormat="false" ht="15" hidden="false" customHeight="false" outlineLevel="0" collapsed="false">
      <c r="A54" s="1" t="n">
        <v>21</v>
      </c>
      <c r="B54" s="1" t="n">
        <f aca="false">ROUND(prod_base*prod_growth^(A54-1),0)</f>
        <v>1067</v>
      </c>
      <c r="C54" s="1" t="n">
        <f aca="false">ROUND(prod_base*prod_growth^(A54-1)*24,0)</f>
        <v>25612</v>
      </c>
      <c r="D54" s="1" t="n">
        <f aca="false">B54*workshop_buffer_h</f>
        <v>10670</v>
      </c>
      <c r="E54" s="1" t="n">
        <f aca="false">D54*offline_store_mult</f>
        <v>21340</v>
      </c>
      <c r="F54" s="1" t="n">
        <f aca="false">IF(A54=1,0,ROUND(cost_workshop_stone*1*cost_growth^(A54-2)*IF(A54&lt;=4,stage_early,IF(A54&lt;=stage_mid_level,stage_mid,IF(A54&lt;=stage_late_level,stage_normal,stage_late))),0))</f>
        <v>27411</v>
      </c>
      <c r="G54" s="1" t="n">
        <f aca="false">IF(A54=1,0,ROUND(cost_workshop_wood*1*cost_growth^(A54-2)*IF(A54&lt;=4,stage_early,IF(A54&lt;=stage_mid_level,stage_mid,IF(A54&lt;=stage_late_level,stage_normal,stage_late))),0))</f>
        <v>18274</v>
      </c>
      <c r="H54" s="1" t="n">
        <f aca="false">IF(A54=1,0,ROUND(cost_workshop_bone*1*cost_growth^(A54-2)*IF(A54&lt;=4,stage_early,IF(A54&lt;=stage_mid_level,stage_mid,IF(A54&lt;=stage_late_level,stage_normal,stage_late))),0))</f>
        <v>7310</v>
      </c>
      <c r="I54" s="1" t="n">
        <f aca="false">IF(A54=1,0,ROUND(build_time_base_min*time_coef_workshop*time_growth^(A54-2)*IF(A54&lt;=4,stage_early,IF(A54&lt;=stage_mid_level,stage_mid,IF(A54&lt;=stage_late_level,stage_normal,stage_late)))/60,1))</f>
        <v>17.3</v>
      </c>
    </row>
    <row r="55" customFormat="false" ht="15" hidden="false" customHeight="false" outlineLevel="0" collapsed="false">
      <c r="A55" s="1" t="n">
        <v>22</v>
      </c>
      <c r="B55" s="1" t="n">
        <f aca="false">ROUND(prod_base*prod_growth^(A55-1),0)</f>
        <v>1302</v>
      </c>
      <c r="C55" s="1" t="n">
        <f aca="false">ROUND(prod_base*prod_growth^(A55-1)*24,0)</f>
        <v>31246</v>
      </c>
      <c r="D55" s="1" t="n">
        <f aca="false">B55*workshop_buffer_h</f>
        <v>13020</v>
      </c>
      <c r="E55" s="1" t="n">
        <f aca="false">D55*offline_store_mult</f>
        <v>26040</v>
      </c>
      <c r="F55" s="1" t="n">
        <f aca="false">IF(A55=1,0,ROUND(cost_workshop_stone*1*cost_growth^(A55-2)*IF(A55&lt;=4,stage_early,IF(A55&lt;=stage_mid_level,stage_mid,IF(A55&lt;=stage_late_level,stage_normal,stage_late))),0))</f>
        <v>35634</v>
      </c>
      <c r="G55" s="1" t="n">
        <f aca="false">IF(A55=1,0,ROUND(cost_workshop_wood*1*cost_growth^(A55-2)*IF(A55&lt;=4,stage_early,IF(A55&lt;=stage_mid_level,stage_mid,IF(A55&lt;=stage_late_level,stage_normal,stage_late))),0))</f>
        <v>23756</v>
      </c>
      <c r="H55" s="1" t="n">
        <f aca="false">IF(A55=1,0,ROUND(cost_workshop_bone*1*cost_growth^(A55-2)*IF(A55&lt;=4,stage_early,IF(A55&lt;=stage_mid_level,stage_mid,IF(A55&lt;=stage_late_level,stage_normal,stage_late))),0))</f>
        <v>9502</v>
      </c>
      <c r="I55" s="1" t="n">
        <f aca="false">IF(A55=1,0,ROUND(build_time_base_min*time_coef_workshop*time_growth^(A55-2)*IF(A55&lt;=4,stage_early,IF(A55&lt;=stage_mid_level,stage_mid,IF(A55&lt;=stage_late_level,stage_normal,stage_late)))/60,1))</f>
        <v>21.7</v>
      </c>
    </row>
    <row r="56" customFormat="false" ht="15" hidden="false" customHeight="false" outlineLevel="0" collapsed="false">
      <c r="A56" s="1" t="n">
        <v>23</v>
      </c>
      <c r="B56" s="1" t="n">
        <f aca="false">ROUND(prod_base*prod_growth^(A56-1),0)</f>
        <v>1588</v>
      </c>
      <c r="C56" s="1" t="n">
        <f aca="false">ROUND(prod_base*prod_growth^(A56-1)*24,0)</f>
        <v>38120</v>
      </c>
      <c r="D56" s="1" t="n">
        <f aca="false">B56*workshop_buffer_h</f>
        <v>15880</v>
      </c>
      <c r="E56" s="1" t="n">
        <f aca="false">D56*offline_store_mult</f>
        <v>31760</v>
      </c>
      <c r="F56" s="1" t="n">
        <f aca="false">IF(A56=1,0,ROUND(cost_workshop_stone*1*cost_growth^(A56-2)*IF(A56&lt;=4,stage_early,IF(A56&lt;=stage_mid_level,stage_mid,IF(A56&lt;=stage_late_level,stage_normal,stage_late))),0))</f>
        <v>46325</v>
      </c>
      <c r="G56" s="1" t="n">
        <f aca="false">IF(A56=1,0,ROUND(cost_workshop_wood*1*cost_growth^(A56-2)*IF(A56&lt;=4,stage_early,IF(A56&lt;=stage_mid_level,stage_mid,IF(A56&lt;=stage_late_level,stage_normal,stage_late))),0))</f>
        <v>30883</v>
      </c>
      <c r="H56" s="1" t="n">
        <f aca="false">IF(A56=1,0,ROUND(cost_workshop_bone*1*cost_growth^(A56-2)*IF(A56&lt;=4,stage_early,IF(A56&lt;=stage_mid_level,stage_mid,IF(A56&lt;=stage_late_level,stage_normal,stage_late))),0))</f>
        <v>12353</v>
      </c>
      <c r="I56" s="1" t="n">
        <f aca="false">IF(A56=1,0,ROUND(build_time_base_min*time_coef_workshop*time_growth^(A56-2)*IF(A56&lt;=4,stage_early,IF(A56&lt;=stage_mid_level,stage_mid,IF(A56&lt;=stage_late_level,stage_normal,stage_late)))/60,1))</f>
        <v>27.1</v>
      </c>
    </row>
    <row r="57" customFormat="false" ht="15" hidden="false" customHeight="false" outlineLevel="0" collapsed="false">
      <c r="A57" s="1" t="n">
        <v>24</v>
      </c>
      <c r="B57" s="1" t="n">
        <f aca="false">ROUND(prod_base*prod_growth^(A57-1),0)</f>
        <v>1938</v>
      </c>
      <c r="C57" s="1" t="n">
        <f aca="false">ROUND(prod_base*prod_growth^(A57-1)*24,0)</f>
        <v>46507</v>
      </c>
      <c r="D57" s="1" t="n">
        <f aca="false">B57*workshop_buffer_h</f>
        <v>19380</v>
      </c>
      <c r="E57" s="1" t="n">
        <f aca="false">D57*offline_store_mult</f>
        <v>38760</v>
      </c>
      <c r="F57" s="1" t="n">
        <f aca="false">IF(A57=1,0,ROUND(cost_workshop_stone*1*cost_growth^(A57-2)*IF(A57&lt;=4,stage_early,IF(A57&lt;=stage_mid_level,stage_mid,IF(A57&lt;=stage_late_level,stage_normal,stage_late))),0))</f>
        <v>60222</v>
      </c>
      <c r="G57" s="1" t="n">
        <f aca="false">IF(A57=1,0,ROUND(cost_workshop_wood*1*cost_growth^(A57-2)*IF(A57&lt;=4,stage_early,IF(A57&lt;=stage_mid_level,stage_mid,IF(A57&lt;=stage_late_level,stage_normal,stage_late))),0))</f>
        <v>40148</v>
      </c>
      <c r="H57" s="1" t="n">
        <f aca="false">IF(A57=1,0,ROUND(cost_workshop_bone*1*cost_growth^(A57-2)*IF(A57&lt;=4,stage_early,IF(A57&lt;=stage_mid_level,stage_mid,IF(A57&lt;=stage_late_level,stage_normal,stage_late))),0))</f>
        <v>16059</v>
      </c>
      <c r="I57" s="1" t="n">
        <f aca="false">IF(A57=1,0,ROUND(build_time_base_min*time_coef_workshop*time_growth^(A57-2)*IF(A57&lt;=4,stage_early,IF(A57&lt;=stage_mid_level,stage_mid,IF(A57&lt;=stage_late_level,stage_normal,stage_late)))/60,1))</f>
        <v>33.9</v>
      </c>
    </row>
    <row r="58" customFormat="false" ht="15" hidden="false" customHeight="false" outlineLevel="0" collapsed="false">
      <c r="A58" s="1" t="n">
        <v>25</v>
      </c>
      <c r="B58" s="1" t="n">
        <f aca="false">ROUND(prod_base*prod_growth^(A58-1),0)</f>
        <v>2364</v>
      </c>
      <c r="C58" s="1" t="n">
        <f aca="false">ROUND(prod_base*prod_growth^(A58-1)*24,0)</f>
        <v>56738</v>
      </c>
      <c r="D58" s="1" t="n">
        <f aca="false">B58*workshop_buffer_h</f>
        <v>23640</v>
      </c>
      <c r="E58" s="1" t="n">
        <f aca="false">D58*offline_store_mult</f>
        <v>47280</v>
      </c>
      <c r="F58" s="1" t="n">
        <f aca="false">IF(A58=1,0,ROUND(cost_workshop_stone*1*cost_growth^(A58-2)*IF(A58&lt;=4,stage_early,IF(A58&lt;=stage_mid_level,stage_mid,IF(A58&lt;=stage_late_level,stage_normal,stage_late))),0))</f>
        <v>78289</v>
      </c>
      <c r="G58" s="1" t="n">
        <f aca="false">IF(A58=1,0,ROUND(cost_workshop_wood*1*cost_growth^(A58-2)*IF(A58&lt;=4,stage_early,IF(A58&lt;=stage_mid_level,stage_mid,IF(A58&lt;=stage_late_level,stage_normal,stage_late))),0))</f>
        <v>52192</v>
      </c>
      <c r="H58" s="1" t="n">
        <f aca="false">IF(A58=1,0,ROUND(cost_workshop_bone*1*cost_growth^(A58-2)*IF(A58&lt;=4,stage_early,IF(A58&lt;=stage_mid_level,stage_mid,IF(A58&lt;=stage_late_level,stage_normal,stage_late))),0))</f>
        <v>20877</v>
      </c>
      <c r="I58" s="1" t="n">
        <f aca="false">IF(A58=1,0,ROUND(build_time_base_min*time_coef_workshop*time_growth^(A58-2)*IF(A58&lt;=4,stage_early,IF(A58&lt;=stage_mid_level,stage_mid,IF(A58&lt;=stage_late_level,stage_normal,stage_late)))/60,1))</f>
        <v>42.4</v>
      </c>
    </row>
    <row r="59" customFormat="false" ht="15" hidden="false" customHeight="false" outlineLevel="0" collapsed="false">
      <c r="A59" s="1" t="s">
        <v>147</v>
      </c>
    </row>
    <row r="60" customFormat="false" ht="15" hidden="false" customHeight="false" outlineLevel="0" collapsed="false">
      <c r="A60" s="2" t="s">
        <v>2</v>
      </c>
      <c r="B60" s="2" t="s">
        <v>148</v>
      </c>
      <c r="C60" s="2" t="s">
        <v>149</v>
      </c>
      <c r="D60" s="2" t="s">
        <v>150</v>
      </c>
      <c r="E60" s="2" t="s">
        <v>138</v>
      </c>
      <c r="F60" s="2" t="s">
        <v>146</v>
      </c>
      <c r="G60" s="2" t="s">
        <v>151</v>
      </c>
      <c r="H60" s="2" t="s">
        <v>140</v>
      </c>
    </row>
    <row r="61" customFormat="false" ht="15" hidden="false" customHeight="false" outlineLevel="0" collapsed="false">
      <c r="A61" s="1" t="n">
        <v>1</v>
      </c>
      <c r="B61" s="1" t="n">
        <f aca="false">MAX(1,MIN(6,INT(A61/tier_step_building)))</f>
        <v>1</v>
      </c>
      <c r="C61" s="1" t="n">
        <f aca="false">ROUND(role_cap_base*role_cap_growth^(A61-1),0)</f>
        <v>6</v>
      </c>
      <c r="D61" s="1" t="n">
        <f aca="false">1+train_speed_per_level*(A61-1)</f>
        <v>1</v>
      </c>
      <c r="E61" s="1" t="n">
        <f aca="false">IF(A61=1,0,ROUND(cost_role_stone*cost_coef_scout_rock*cost_growth^(A61-2)*IF(A61&lt;=4,stage_early,IF(A61&lt;=stage_mid_level,stage_mid,IF(A61&lt;=stage_late_level,stage_normal,stage_late))),0))</f>
        <v>0</v>
      </c>
      <c r="F61" s="1" t="n">
        <f aca="false">IF(A61=1,0,ROUND(cost_role_bone*cost_coef_scout_rock*cost_growth^(A61-2)*IF(A61&lt;=4,stage_early,IF(A61&lt;=stage_mid_level,stage_mid,IF(A61&lt;=stage_late_level,stage_normal,stage_late))),0))</f>
        <v>0</v>
      </c>
      <c r="G61" s="1" t="n">
        <f aca="false">IF(A61=1,0,ROUND(cost_role_hide*cost_coef_scout_rock*cost_growth^(A61-2)*IF(A61&lt;=4,stage_early,IF(A61&lt;=stage_mid_level,stage_mid,IF(A61&lt;=stage_late_level,stage_normal,stage_late))),0))</f>
        <v>0</v>
      </c>
      <c r="H61" s="1" t="n">
        <f aca="false">IF(A61=1,0,ROUND(build_time_base_min*time_coef_scout_rock*time_growth^(A61-2)*IF(A61&lt;=4,stage_early,IF(A61&lt;=stage_mid_level,stage_mid,IF(A61&lt;=stage_late_level,stage_normal,stage_late)))/60,1))</f>
        <v>0</v>
      </c>
    </row>
    <row r="62" customFormat="false" ht="15" hidden="false" customHeight="false" outlineLevel="0" collapsed="false">
      <c r="A62" s="1" t="n">
        <v>2</v>
      </c>
      <c r="B62" s="1" t="n">
        <f aca="false">MAX(1,MIN(6,INT(A62/tier_step_building)))</f>
        <v>1</v>
      </c>
      <c r="C62" s="1" t="n">
        <f aca="false">ROUND(role_cap_base*role_cap_growth^(A62-1),0)</f>
        <v>7</v>
      </c>
      <c r="D62" s="1" t="n">
        <f aca="false">1+train_speed_per_level*(A62-1)</f>
        <v>1.04</v>
      </c>
      <c r="E62" s="1" t="n">
        <f aca="false">IF(A62=1,0,ROUND(cost_role_stone*cost_coef_scout_rock*cost_growth^(A62-2)*IF(A62&lt;=4,stage_early,IF(A62&lt;=stage_mid_level,stage_mid,IF(A62&lt;=stage_late_level,stage_normal,stage_late))),0))</f>
        <v>36</v>
      </c>
      <c r="F62" s="1" t="n">
        <f aca="false">IF(A62=1,0,ROUND(cost_role_bone*cost_coef_scout_rock*cost_growth^(A62-2)*IF(A62&lt;=4,stage_early,IF(A62&lt;=stage_mid_level,stage_mid,IF(A62&lt;=stage_late_level,stage_normal,stage_late))),0))</f>
        <v>18</v>
      </c>
      <c r="G62" s="1" t="n">
        <f aca="false">IF(A62=1,0,ROUND(cost_role_hide*cost_coef_scout_rock*cost_growth^(A62-2)*IF(A62&lt;=4,stage_early,IF(A62&lt;=stage_mid_level,stage_mid,IF(A62&lt;=stage_late_level,stage_normal,stage_late))),0))</f>
        <v>30</v>
      </c>
      <c r="H62" s="1" t="n">
        <f aca="false">IF(A62=1,0,ROUND(build_time_base_min*time_coef_scout_rock*time_growth^(A62-2)*IF(A62&lt;=4,stage_early,IF(A62&lt;=stage_mid_level,stage_mid,IF(A62&lt;=stage_late_level,stage_normal,stage_late)))/60,1))</f>
        <v>0.1</v>
      </c>
    </row>
    <row r="63" customFormat="false" ht="15" hidden="false" customHeight="false" outlineLevel="0" collapsed="false">
      <c r="A63" s="1" t="n">
        <v>3</v>
      </c>
      <c r="B63" s="1" t="n">
        <f aca="false">MAX(1,MIN(6,INT(A63/tier_step_building)))</f>
        <v>1</v>
      </c>
      <c r="C63" s="1" t="n">
        <f aca="false">ROUND(role_cap_base*role_cap_growth^(A63-1),0)</f>
        <v>9</v>
      </c>
      <c r="D63" s="1" t="n">
        <f aca="false">1+train_speed_per_level*(A63-1)</f>
        <v>1.08</v>
      </c>
      <c r="E63" s="1" t="n">
        <f aca="false">IF(A63=1,0,ROUND(cost_role_stone*cost_coef_scout_rock*cost_growth^(A63-2)*IF(A63&lt;=4,stage_early,IF(A63&lt;=stage_mid_level,stage_mid,IF(A63&lt;=stage_late_level,stage_normal,stage_late))),0))</f>
        <v>47</v>
      </c>
      <c r="F63" s="1" t="n">
        <f aca="false">IF(A63=1,0,ROUND(cost_role_bone*cost_coef_scout_rock*cost_growth^(A63-2)*IF(A63&lt;=4,stage_early,IF(A63&lt;=stage_mid_level,stage_mid,IF(A63&lt;=stage_late_level,stage_normal,stage_late))),0))</f>
        <v>23</v>
      </c>
      <c r="G63" s="1" t="n">
        <f aca="false">IF(A63=1,0,ROUND(cost_role_hide*cost_coef_scout_rock*cost_growth^(A63-2)*IF(A63&lt;=4,stage_early,IF(A63&lt;=stage_mid_level,stage_mid,IF(A63&lt;=stage_late_level,stage_normal,stage_late))),0))</f>
        <v>39</v>
      </c>
      <c r="H63" s="1" t="n">
        <f aca="false">IF(A63=1,0,ROUND(build_time_base_min*time_coef_scout_rock*time_growth^(A63-2)*IF(A63&lt;=4,stage_early,IF(A63&lt;=stage_mid_level,stage_mid,IF(A63&lt;=stage_late_level,stage_normal,stage_late)))/60,1))</f>
        <v>0.1</v>
      </c>
    </row>
    <row r="64" customFormat="false" ht="15" hidden="false" customHeight="false" outlineLevel="0" collapsed="false">
      <c r="A64" s="1" t="n">
        <v>4</v>
      </c>
      <c r="B64" s="1" t="n">
        <f aca="false">MAX(1,MIN(6,INT(A64/tier_step_building)))</f>
        <v>1</v>
      </c>
      <c r="C64" s="1" t="n">
        <f aca="false">ROUND(role_cap_base*role_cap_growth^(A64-1),0)</f>
        <v>10</v>
      </c>
      <c r="D64" s="1" t="n">
        <f aca="false">1+train_speed_per_level*(A64-1)</f>
        <v>1.12</v>
      </c>
      <c r="E64" s="1" t="n">
        <f aca="false">IF(A64=1,0,ROUND(cost_role_stone*cost_coef_scout_rock*cost_growth^(A64-2)*IF(A64&lt;=4,stage_early,IF(A64&lt;=stage_mid_level,stage_mid,IF(A64&lt;=stage_late_level,stage_normal,stage_late))),0))</f>
        <v>61</v>
      </c>
      <c r="F64" s="1" t="n">
        <f aca="false">IF(A64=1,0,ROUND(cost_role_bone*cost_coef_scout_rock*cost_growth^(A64-2)*IF(A64&lt;=4,stage_early,IF(A64&lt;=stage_mid_level,stage_mid,IF(A64&lt;=stage_late_level,stage_normal,stage_late))),0))</f>
        <v>30</v>
      </c>
      <c r="G64" s="1" t="n">
        <f aca="false">IF(A64=1,0,ROUND(cost_role_hide*cost_coef_scout_rock*cost_growth^(A64-2)*IF(A64&lt;=4,stage_early,IF(A64&lt;=stage_mid_level,stage_mid,IF(A64&lt;=stage_late_level,stage_normal,stage_late))),0))</f>
        <v>51</v>
      </c>
      <c r="H64" s="1" t="n">
        <f aca="false">IF(A64=1,0,ROUND(build_time_base_min*time_coef_scout_rock*time_growth^(A64-2)*IF(A64&lt;=4,stage_early,IF(A64&lt;=stage_mid_level,stage_mid,IF(A64&lt;=stage_late_level,stage_normal,stage_late)))/60,1))</f>
        <v>0.1</v>
      </c>
    </row>
    <row r="65" customFormat="false" ht="15" hidden="false" customHeight="false" outlineLevel="0" collapsed="false">
      <c r="A65" s="1" t="n">
        <v>5</v>
      </c>
      <c r="B65" s="1" t="n">
        <f aca="false">MAX(1,MIN(6,INT(A65/tier_step_building)))</f>
        <v>1</v>
      </c>
      <c r="C65" s="1" t="n">
        <f aca="false">ROUND(role_cap_base*role_cap_growth^(A65-1),0)</f>
        <v>12</v>
      </c>
      <c r="D65" s="1" t="n">
        <f aca="false">1+train_speed_per_level*(A65-1)</f>
        <v>1.16</v>
      </c>
      <c r="E65" s="1" t="n">
        <f aca="false">IF(A65=1,0,ROUND(cost_role_stone*cost_coef_scout_rock*cost_growth^(A65-2)*IF(A65&lt;=4,stage_early,IF(A65&lt;=stage_mid_level,stage_mid,IF(A65&lt;=stage_late_level,stage_normal,stage_late))),0))</f>
        <v>138</v>
      </c>
      <c r="F65" s="1" t="n">
        <f aca="false">IF(A65=1,0,ROUND(cost_role_bone*cost_coef_scout_rock*cost_growth^(A65-2)*IF(A65&lt;=4,stage_early,IF(A65&lt;=stage_mid_level,stage_mid,IF(A65&lt;=stage_late_level,stage_normal,stage_late))),0))</f>
        <v>69</v>
      </c>
      <c r="G65" s="1" t="n">
        <f aca="false">IF(A65=1,0,ROUND(cost_role_hide*cost_coef_scout_rock*cost_growth^(A65-2)*IF(A65&lt;=4,stage_early,IF(A65&lt;=stage_mid_level,stage_mid,IF(A65&lt;=stage_late_level,stage_normal,stage_late))),0))</f>
        <v>115</v>
      </c>
      <c r="H65" s="1" t="n">
        <f aca="false">IF(A65=1,0,ROUND(build_time_base_min*time_coef_scout_rock*time_growth^(A65-2)*IF(A65&lt;=4,stage_early,IF(A65&lt;=stage_mid_level,stage_mid,IF(A65&lt;=stage_late_level,stage_normal,stage_late)))/60,1))</f>
        <v>0.2</v>
      </c>
    </row>
    <row r="66" customFormat="false" ht="15" hidden="false" customHeight="false" outlineLevel="0" collapsed="false">
      <c r="A66" s="1" t="n">
        <v>6</v>
      </c>
      <c r="B66" s="1" t="n">
        <f aca="false">MAX(1,MIN(6,INT(A66/tier_step_building)))</f>
        <v>1</v>
      </c>
      <c r="C66" s="1" t="n">
        <f aca="false">ROUND(role_cap_base*role_cap_growth^(A66-1),0)</f>
        <v>15</v>
      </c>
      <c r="D66" s="1" t="n">
        <f aca="false">1+train_speed_per_level*(A66-1)</f>
        <v>1.2</v>
      </c>
      <c r="E66" s="1" t="n">
        <f aca="false">IF(A66=1,0,ROUND(cost_role_stone*cost_coef_scout_rock*cost_growth^(A66-2)*IF(A66&lt;=4,stage_early,IF(A66&lt;=stage_mid_level,stage_mid,IF(A66&lt;=stage_late_level,stage_normal,stage_late))),0))</f>
        <v>180</v>
      </c>
      <c r="F66" s="1" t="n">
        <f aca="false">IF(A66=1,0,ROUND(cost_role_bone*cost_coef_scout_rock*cost_growth^(A66-2)*IF(A66&lt;=4,stage_early,IF(A66&lt;=stage_mid_level,stage_mid,IF(A66&lt;=stage_late_level,stage_normal,stage_late))),0))</f>
        <v>90</v>
      </c>
      <c r="G66" s="1" t="n">
        <f aca="false">IF(A66=1,0,ROUND(cost_role_hide*cost_coef_scout_rock*cost_growth^(A66-2)*IF(A66&lt;=4,stage_early,IF(A66&lt;=stage_mid_level,stage_mid,IF(A66&lt;=stage_late_level,stage_normal,stage_late))),0))</f>
        <v>150</v>
      </c>
      <c r="H66" s="1" t="n">
        <f aca="false">IF(A66=1,0,ROUND(build_time_base_min*time_coef_scout_rock*time_growth^(A66-2)*IF(A66&lt;=4,stage_early,IF(A66&lt;=stage_mid_level,stage_mid,IF(A66&lt;=stage_late_level,stage_normal,stage_late)))/60,1))</f>
        <v>0.2</v>
      </c>
    </row>
    <row r="67" customFormat="false" ht="15" hidden="false" customHeight="false" outlineLevel="0" collapsed="false">
      <c r="A67" s="1" t="n">
        <v>7</v>
      </c>
      <c r="B67" s="1" t="n">
        <f aca="false">MAX(1,MIN(6,INT(A67/tier_step_building)))</f>
        <v>1</v>
      </c>
      <c r="C67" s="1" t="n">
        <f aca="false">ROUND(role_cap_base*role_cap_growth^(A67-1),0)</f>
        <v>18</v>
      </c>
      <c r="D67" s="1" t="n">
        <f aca="false">1+train_speed_per_level*(A67-1)</f>
        <v>1.24</v>
      </c>
      <c r="E67" s="1" t="n">
        <f aca="false">IF(A67=1,0,ROUND(cost_role_stone*cost_coef_scout_rock*cost_growth^(A67-2)*IF(A67&lt;=4,stage_early,IF(A67&lt;=stage_mid_level,stage_mid,IF(A67&lt;=stage_late_level,stage_normal,stage_late))),0))</f>
        <v>234</v>
      </c>
      <c r="F67" s="1" t="n">
        <f aca="false">IF(A67=1,0,ROUND(cost_role_bone*cost_coef_scout_rock*cost_growth^(A67-2)*IF(A67&lt;=4,stage_early,IF(A67&lt;=stage_mid_level,stage_mid,IF(A67&lt;=stage_late_level,stage_normal,stage_late))),0))</f>
        <v>117</v>
      </c>
      <c r="G67" s="1" t="n">
        <f aca="false">IF(A67=1,0,ROUND(cost_role_hide*cost_coef_scout_rock*cost_growth^(A67-2)*IF(A67&lt;=4,stage_early,IF(A67&lt;=stage_mid_level,stage_mid,IF(A67&lt;=stage_late_level,stage_normal,stage_late))),0))</f>
        <v>195</v>
      </c>
      <c r="H67" s="1" t="n">
        <f aca="false">IF(A67=1,0,ROUND(build_time_base_min*time_coef_scout_rock*time_growth^(A67-2)*IF(A67&lt;=4,stage_early,IF(A67&lt;=stage_mid_level,stage_mid,IF(A67&lt;=stage_late_level,stage_normal,stage_late)))/60,1))</f>
        <v>0.3</v>
      </c>
    </row>
    <row r="68" customFormat="false" ht="15" hidden="false" customHeight="false" outlineLevel="0" collapsed="false">
      <c r="A68" s="1" t="n">
        <v>8</v>
      </c>
      <c r="B68" s="1" t="n">
        <f aca="false">MAX(1,MIN(6,INT(A68/tier_step_building)))</f>
        <v>2</v>
      </c>
      <c r="C68" s="1" t="n">
        <f aca="false">ROUND(role_cap_base*role_cap_growth^(A68-1),0)</f>
        <v>21</v>
      </c>
      <c r="D68" s="1" t="n">
        <f aca="false">1+train_speed_per_level*(A68-1)</f>
        <v>1.28</v>
      </c>
      <c r="E68" s="1" t="n">
        <f aca="false">IF(A68=1,0,ROUND(cost_role_stone*cost_coef_scout_rock*cost_growth^(A68-2)*IF(A68&lt;=4,stage_early,IF(A68&lt;=stage_mid_level,stage_mid,IF(A68&lt;=stage_late_level,stage_normal,stage_late))),0))</f>
        <v>304</v>
      </c>
      <c r="F68" s="1" t="n">
        <f aca="false">IF(A68=1,0,ROUND(cost_role_bone*cost_coef_scout_rock*cost_growth^(A68-2)*IF(A68&lt;=4,stage_early,IF(A68&lt;=stage_mid_level,stage_mid,IF(A68&lt;=stage_late_level,stage_normal,stage_late))),0))</f>
        <v>152</v>
      </c>
      <c r="G68" s="1" t="n">
        <f aca="false">IF(A68=1,0,ROUND(cost_role_hide*cost_coef_scout_rock*cost_growth^(A68-2)*IF(A68&lt;=4,stage_early,IF(A68&lt;=stage_mid_level,stage_mid,IF(A68&lt;=stage_late_level,stage_normal,stage_late))),0))</f>
        <v>253</v>
      </c>
      <c r="H68" s="1" t="n">
        <f aca="false">IF(A68=1,0,ROUND(build_time_base_min*time_coef_scout_rock*time_growth^(A68-2)*IF(A68&lt;=4,stage_early,IF(A68&lt;=stage_mid_level,stage_mid,IF(A68&lt;=stage_late_level,stage_normal,stage_late)))/60,1))</f>
        <v>0.4</v>
      </c>
    </row>
    <row r="69" customFormat="false" ht="15" hidden="false" customHeight="false" outlineLevel="0" collapsed="false">
      <c r="A69" s="1" t="n">
        <v>9</v>
      </c>
      <c r="B69" s="1" t="n">
        <f aca="false">MAX(1,MIN(6,INT(A69/tier_step_building)))</f>
        <v>2</v>
      </c>
      <c r="C69" s="1" t="n">
        <f aca="false">ROUND(role_cap_base*role_cap_growth^(A69-1),0)</f>
        <v>26</v>
      </c>
      <c r="D69" s="1" t="n">
        <f aca="false">1+train_speed_per_level*(A69-1)</f>
        <v>1.32</v>
      </c>
      <c r="E69" s="1" t="n">
        <f aca="false">IF(A69=1,0,ROUND(cost_role_stone*cost_coef_scout_rock*cost_growth^(A69-2)*IF(A69&lt;=4,stage_early,IF(A69&lt;=stage_mid_level,stage_mid,IF(A69&lt;=stage_late_level,stage_normal,stage_late))),0))</f>
        <v>395</v>
      </c>
      <c r="F69" s="1" t="n">
        <f aca="false">IF(A69=1,0,ROUND(cost_role_bone*cost_coef_scout_rock*cost_growth^(A69-2)*IF(A69&lt;=4,stage_early,IF(A69&lt;=stage_mid_level,stage_mid,IF(A69&lt;=stage_late_level,stage_normal,stage_late))),0))</f>
        <v>198</v>
      </c>
      <c r="G69" s="1" t="n">
        <f aca="false">IF(A69=1,0,ROUND(cost_role_hide*cost_coef_scout_rock*cost_growth^(A69-2)*IF(A69&lt;=4,stage_early,IF(A69&lt;=stage_mid_level,stage_mid,IF(A69&lt;=stage_late_level,stage_normal,stage_late))),0))</f>
        <v>329</v>
      </c>
      <c r="H69" s="1" t="n">
        <f aca="false">IF(A69=1,0,ROUND(build_time_base_min*time_coef_scout_rock*time_growth^(A69-2)*IF(A69&lt;=4,stage_early,IF(A69&lt;=stage_mid_level,stage_mid,IF(A69&lt;=stage_late_level,stage_normal,stage_late)))/60,1))</f>
        <v>0.4</v>
      </c>
    </row>
    <row r="70" customFormat="false" ht="15" hidden="false" customHeight="false" outlineLevel="0" collapsed="false">
      <c r="A70" s="1" t="n">
        <v>10</v>
      </c>
      <c r="B70" s="1" t="n">
        <f aca="false">MAX(1,MIN(6,INT(A70/tier_step_building)))</f>
        <v>2</v>
      </c>
      <c r="C70" s="1" t="n">
        <f aca="false">ROUND(role_cap_base*role_cap_growth^(A70-1),0)</f>
        <v>31</v>
      </c>
      <c r="D70" s="1" t="n">
        <f aca="false">1+train_speed_per_level*(A70-1)</f>
        <v>1.36</v>
      </c>
      <c r="E70" s="1" t="n">
        <f aca="false">IF(A70=1,0,ROUND(cost_role_stone*cost_coef_scout_rock*cost_growth^(A70-2)*IF(A70&lt;=4,stage_early,IF(A70&lt;=stage_mid_level,stage_mid,IF(A70&lt;=stage_late_level,stage_normal,stage_late))),0))</f>
        <v>514</v>
      </c>
      <c r="F70" s="1" t="n">
        <f aca="false">IF(A70=1,0,ROUND(cost_role_bone*cost_coef_scout_rock*cost_growth^(A70-2)*IF(A70&lt;=4,stage_early,IF(A70&lt;=stage_mid_level,stage_mid,IF(A70&lt;=stage_late_level,stage_normal,stage_late))),0))</f>
        <v>257</v>
      </c>
      <c r="G70" s="1" t="n">
        <f aca="false">IF(A70=1,0,ROUND(cost_role_hide*cost_coef_scout_rock*cost_growth^(A70-2)*IF(A70&lt;=4,stage_early,IF(A70&lt;=stage_mid_level,stage_mid,IF(A70&lt;=stage_late_level,stage_normal,stage_late))),0))</f>
        <v>428</v>
      </c>
      <c r="H70" s="1" t="n">
        <f aca="false">IF(A70=1,0,ROUND(build_time_base_min*time_coef_scout_rock*time_growth^(A70-2)*IF(A70&lt;=4,stage_early,IF(A70&lt;=stage_mid_level,stage_mid,IF(A70&lt;=stage_late_level,stage_normal,stage_late)))/60,1))</f>
        <v>0.6</v>
      </c>
    </row>
    <row r="71" customFormat="false" ht="15" hidden="false" customHeight="false" outlineLevel="0" collapsed="false">
      <c r="A71" s="1" t="n">
        <v>11</v>
      </c>
      <c r="B71" s="1" t="n">
        <f aca="false">MAX(1,MIN(6,INT(A71/tier_step_building)))</f>
        <v>2</v>
      </c>
      <c r="C71" s="1" t="n">
        <f aca="false">ROUND(role_cap_base*role_cap_growth^(A71-1),0)</f>
        <v>37</v>
      </c>
      <c r="D71" s="1" t="n">
        <f aca="false">1+train_speed_per_level*(A71-1)</f>
        <v>1.4</v>
      </c>
      <c r="E71" s="1" t="n">
        <f aca="false">IF(A71=1,0,ROUND(cost_role_stone*cost_coef_scout_rock*cost_growth^(A71-2)*IF(A71&lt;=4,stage_early,IF(A71&lt;=stage_mid_level,stage_mid,IF(A71&lt;=stage_late_level,stage_normal,stage_late))),0))</f>
        <v>954</v>
      </c>
      <c r="F71" s="1" t="n">
        <f aca="false">IF(A71=1,0,ROUND(cost_role_bone*cost_coef_scout_rock*cost_growth^(A71-2)*IF(A71&lt;=4,stage_early,IF(A71&lt;=stage_mid_level,stage_mid,IF(A71&lt;=stage_late_level,stage_normal,stage_late))),0))</f>
        <v>477</v>
      </c>
      <c r="G71" s="1" t="n">
        <f aca="false">IF(A71=1,0,ROUND(cost_role_hide*cost_coef_scout_rock*cost_growth^(A71-2)*IF(A71&lt;=4,stage_early,IF(A71&lt;=stage_mid_level,stage_mid,IF(A71&lt;=stage_late_level,stage_normal,stage_late))),0))</f>
        <v>795</v>
      </c>
      <c r="H71" s="1" t="n">
        <f aca="false">IF(A71=1,0,ROUND(build_time_base_min*time_coef_scout_rock*time_growth^(A71-2)*IF(A71&lt;=4,stage_early,IF(A71&lt;=stage_mid_level,stage_mid,IF(A71&lt;=stage_late_level,stage_normal,stage_late)))/60,1))</f>
        <v>1</v>
      </c>
    </row>
    <row r="72" customFormat="false" ht="15" hidden="false" customHeight="false" outlineLevel="0" collapsed="false">
      <c r="A72" s="1" t="n">
        <v>12</v>
      </c>
      <c r="B72" s="1" t="n">
        <f aca="false">MAX(1,MIN(6,INT(A72/tier_step_building)))</f>
        <v>3</v>
      </c>
      <c r="C72" s="1" t="n">
        <f aca="false">ROUND(role_cap_base*role_cap_growth^(A72-1),0)</f>
        <v>45</v>
      </c>
      <c r="D72" s="1" t="n">
        <f aca="false">1+train_speed_per_level*(A72-1)</f>
        <v>1.44</v>
      </c>
      <c r="E72" s="1" t="n">
        <f aca="false">IF(A72=1,0,ROUND(cost_role_stone*cost_coef_scout_rock*cost_growth^(A72-2)*IF(A72&lt;=4,stage_early,IF(A72&lt;=stage_mid_level,stage_mid,IF(A72&lt;=stage_late_level,stage_normal,stage_late))),0))</f>
        <v>1241</v>
      </c>
      <c r="F72" s="1" t="n">
        <f aca="false">IF(A72=1,0,ROUND(cost_role_bone*cost_coef_scout_rock*cost_growth^(A72-2)*IF(A72&lt;=4,stage_early,IF(A72&lt;=stage_mid_level,stage_mid,IF(A72&lt;=stage_late_level,stage_normal,stage_late))),0))</f>
        <v>620</v>
      </c>
      <c r="G72" s="1" t="n">
        <f aca="false">IF(A72=1,0,ROUND(cost_role_hide*cost_coef_scout_rock*cost_growth^(A72-2)*IF(A72&lt;=4,stage_early,IF(A72&lt;=stage_mid_level,stage_mid,IF(A72&lt;=stage_late_level,stage_normal,stage_late))),0))</f>
        <v>1034</v>
      </c>
      <c r="H72" s="1" t="n">
        <f aca="false">IF(A72=1,0,ROUND(build_time_base_min*time_coef_scout_rock*time_growth^(A72-2)*IF(A72&lt;=4,stage_early,IF(A72&lt;=stage_mid_level,stage_mid,IF(A72&lt;=stage_late_level,stage_normal,stage_late)))/60,1))</f>
        <v>1.2</v>
      </c>
    </row>
    <row r="73" customFormat="false" ht="15" hidden="false" customHeight="false" outlineLevel="0" collapsed="false">
      <c r="A73" s="1" t="n">
        <v>13</v>
      </c>
      <c r="B73" s="1" t="n">
        <f aca="false">MAX(1,MIN(6,INT(A73/tier_step_building)))</f>
        <v>3</v>
      </c>
      <c r="C73" s="1" t="n">
        <f aca="false">ROUND(role_cap_base*role_cap_growth^(A73-1),0)</f>
        <v>53</v>
      </c>
      <c r="D73" s="1" t="n">
        <f aca="false">1+train_speed_per_level*(A73-1)</f>
        <v>1.48</v>
      </c>
      <c r="E73" s="1" t="n">
        <f aca="false">IF(A73=1,0,ROUND(cost_role_stone*cost_coef_scout_rock*cost_growth^(A73-2)*IF(A73&lt;=4,stage_early,IF(A73&lt;=stage_mid_level,stage_mid,IF(A73&lt;=stage_late_level,stage_normal,stage_late))),0))</f>
        <v>1613</v>
      </c>
      <c r="F73" s="1" t="n">
        <f aca="false">IF(A73=1,0,ROUND(cost_role_bone*cost_coef_scout_rock*cost_growth^(A73-2)*IF(A73&lt;=4,stage_early,IF(A73&lt;=stage_mid_level,stage_mid,IF(A73&lt;=stage_late_level,stage_normal,stage_late))),0))</f>
        <v>806</v>
      </c>
      <c r="G73" s="1" t="n">
        <f aca="false">IF(A73=1,0,ROUND(cost_role_hide*cost_coef_scout_rock*cost_growth^(A73-2)*IF(A73&lt;=4,stage_early,IF(A73&lt;=stage_mid_level,stage_mid,IF(A73&lt;=stage_late_level,stage_normal,stage_late))),0))</f>
        <v>1344</v>
      </c>
      <c r="H73" s="1" t="n">
        <f aca="false">IF(A73=1,0,ROUND(build_time_base_min*time_coef_scout_rock*time_growth^(A73-2)*IF(A73&lt;=4,stage_early,IF(A73&lt;=stage_mid_level,stage_mid,IF(A73&lt;=stage_late_level,stage_normal,stage_late)))/60,1))</f>
        <v>1.6</v>
      </c>
    </row>
    <row r="74" customFormat="false" ht="15" hidden="false" customHeight="false" outlineLevel="0" collapsed="false">
      <c r="A74" s="1" t="n">
        <v>14</v>
      </c>
      <c r="B74" s="1" t="n">
        <f aca="false">MAX(1,MIN(6,INT(A74/tier_step_building)))</f>
        <v>3</v>
      </c>
      <c r="C74" s="1" t="n">
        <f aca="false">ROUND(role_cap_base*role_cap_growth^(A74-1),0)</f>
        <v>64</v>
      </c>
      <c r="D74" s="1" t="n">
        <f aca="false">1+train_speed_per_level*(A74-1)</f>
        <v>1.52</v>
      </c>
      <c r="E74" s="1" t="n">
        <f aca="false">IF(A74=1,0,ROUND(cost_role_stone*cost_coef_scout_rock*cost_growth^(A74-2)*IF(A74&lt;=4,stage_early,IF(A74&lt;=stage_mid_level,stage_mid,IF(A74&lt;=stage_late_level,stage_normal,stage_late))),0))</f>
        <v>2097</v>
      </c>
      <c r="F74" s="1" t="n">
        <f aca="false">IF(A74=1,0,ROUND(cost_role_bone*cost_coef_scout_rock*cost_growth^(A74-2)*IF(A74&lt;=4,stage_early,IF(A74&lt;=stage_mid_level,stage_mid,IF(A74&lt;=stage_late_level,stage_normal,stage_late))),0))</f>
        <v>1048</v>
      </c>
      <c r="G74" s="1" t="n">
        <f aca="false">IF(A74=1,0,ROUND(cost_role_hide*cost_coef_scout_rock*cost_growth^(A74-2)*IF(A74&lt;=4,stage_early,IF(A74&lt;=stage_mid_level,stage_mid,IF(A74&lt;=stage_late_level,stage_normal,stage_late))),0))</f>
        <v>1747</v>
      </c>
      <c r="H74" s="1" t="n">
        <f aca="false">IF(A74=1,0,ROUND(build_time_base_min*time_coef_scout_rock*time_growth^(A74-2)*IF(A74&lt;=4,stage_early,IF(A74&lt;=stage_mid_level,stage_mid,IF(A74&lt;=stage_late_level,stage_normal,stage_late)))/60,1))</f>
        <v>1.9</v>
      </c>
    </row>
    <row r="75" customFormat="false" ht="15" hidden="false" customHeight="false" outlineLevel="0" collapsed="false">
      <c r="A75" s="1" t="n">
        <v>15</v>
      </c>
      <c r="B75" s="1" t="n">
        <f aca="false">MAX(1,MIN(6,INT(A75/tier_step_building)))</f>
        <v>3</v>
      </c>
      <c r="C75" s="1" t="n">
        <f aca="false">ROUND(role_cap_base*role_cap_growth^(A75-1),0)</f>
        <v>77</v>
      </c>
      <c r="D75" s="1" t="n">
        <f aca="false">1+train_speed_per_level*(A75-1)</f>
        <v>1.56</v>
      </c>
      <c r="E75" s="1" t="n">
        <f aca="false">IF(A75=1,0,ROUND(cost_role_stone*cost_coef_scout_rock*cost_growth^(A75-2)*IF(A75&lt;=4,stage_early,IF(A75&lt;=stage_mid_level,stage_mid,IF(A75&lt;=stage_late_level,stage_normal,stage_late))),0))</f>
        <v>2726</v>
      </c>
      <c r="F75" s="1" t="n">
        <f aca="false">IF(A75=1,0,ROUND(cost_role_bone*cost_coef_scout_rock*cost_growth^(A75-2)*IF(A75&lt;=4,stage_early,IF(A75&lt;=stage_mid_level,stage_mid,IF(A75&lt;=stage_late_level,stage_normal,stage_late))),0))</f>
        <v>1363</v>
      </c>
      <c r="G75" s="1" t="n">
        <f aca="false">IF(A75=1,0,ROUND(cost_role_hide*cost_coef_scout_rock*cost_growth^(A75-2)*IF(A75&lt;=4,stage_early,IF(A75&lt;=stage_mid_level,stage_mid,IF(A75&lt;=stage_late_level,stage_normal,stage_late))),0))</f>
        <v>2272</v>
      </c>
      <c r="H75" s="1" t="n">
        <f aca="false">IF(A75=1,0,ROUND(build_time_base_min*time_coef_scout_rock*time_growth^(A75-2)*IF(A75&lt;=4,stage_early,IF(A75&lt;=stage_mid_level,stage_mid,IF(A75&lt;=stage_late_level,stage_normal,stage_late)))/60,1))</f>
        <v>2.4</v>
      </c>
    </row>
    <row r="76" customFormat="false" ht="15" hidden="false" customHeight="false" outlineLevel="0" collapsed="false">
      <c r="A76" s="1" t="n">
        <v>16</v>
      </c>
      <c r="B76" s="1" t="n">
        <f aca="false">MAX(1,MIN(6,INT(A76/tier_step_building)))</f>
        <v>4</v>
      </c>
      <c r="C76" s="1" t="n">
        <f aca="false">ROUND(role_cap_base*role_cap_growth^(A76-1),0)</f>
        <v>92</v>
      </c>
      <c r="D76" s="1" t="n">
        <f aca="false">1+train_speed_per_level*(A76-1)</f>
        <v>1.6</v>
      </c>
      <c r="E76" s="1" t="n">
        <f aca="false">IF(A76=1,0,ROUND(cost_role_stone*cost_coef_scout_rock*cost_growth^(A76-2)*IF(A76&lt;=4,stage_early,IF(A76&lt;=stage_mid_level,stage_mid,IF(A76&lt;=stage_late_level,stage_normal,stage_late))),0))</f>
        <v>4430</v>
      </c>
      <c r="F76" s="1" t="n">
        <f aca="false">IF(A76=1,0,ROUND(cost_role_bone*cost_coef_scout_rock*cost_growth^(A76-2)*IF(A76&lt;=4,stage_early,IF(A76&lt;=stage_mid_level,stage_mid,IF(A76&lt;=stage_late_level,stage_normal,stage_late))),0))</f>
        <v>2215</v>
      </c>
      <c r="G76" s="1" t="n">
        <f aca="false">IF(A76=1,0,ROUND(cost_role_hide*cost_coef_scout_rock*cost_growth^(A76-2)*IF(A76&lt;=4,stage_early,IF(A76&lt;=stage_mid_level,stage_mid,IF(A76&lt;=stage_late_level,stage_normal,stage_late))),0))</f>
        <v>3691</v>
      </c>
      <c r="H76" s="1" t="n">
        <f aca="false">IF(A76=1,0,ROUND(build_time_base_min*time_coef_scout_rock*time_growth^(A76-2)*IF(A76&lt;=4,stage_early,IF(A76&lt;=stage_mid_level,stage_mid,IF(A76&lt;=stage_late_level,stage_normal,stage_late)))/60,1))</f>
        <v>3.8</v>
      </c>
    </row>
    <row r="77" customFormat="false" ht="15" hidden="false" customHeight="false" outlineLevel="0" collapsed="false">
      <c r="A77" s="1" t="n">
        <v>17</v>
      </c>
      <c r="B77" s="1" t="n">
        <f aca="false">MAX(1,MIN(6,INT(A77/tier_step_building)))</f>
        <v>4</v>
      </c>
      <c r="C77" s="1" t="n">
        <f aca="false">ROUND(role_cap_base*role_cap_growth^(A77-1),0)</f>
        <v>111</v>
      </c>
      <c r="D77" s="1" t="n">
        <f aca="false">1+train_speed_per_level*(A77-1)</f>
        <v>1.64</v>
      </c>
      <c r="E77" s="1" t="n">
        <f aca="false">IF(A77=1,0,ROUND(cost_role_stone*cost_coef_scout_rock*cost_growth^(A77-2)*IF(A77&lt;=4,stage_early,IF(A77&lt;=stage_mid_level,stage_mid,IF(A77&lt;=stage_late_level,stage_normal,stage_late))),0))</f>
        <v>5758</v>
      </c>
      <c r="F77" s="1" t="n">
        <f aca="false">IF(A77=1,0,ROUND(cost_role_bone*cost_coef_scout_rock*cost_growth^(A77-2)*IF(A77&lt;=4,stage_early,IF(A77&lt;=stage_mid_level,stage_mid,IF(A77&lt;=stage_late_level,stage_normal,stage_late))),0))</f>
        <v>2879</v>
      </c>
      <c r="G77" s="1" t="n">
        <f aca="false">IF(A77=1,0,ROUND(cost_role_hide*cost_coef_scout_rock*cost_growth^(A77-2)*IF(A77&lt;=4,stage_early,IF(A77&lt;=stage_mid_level,stage_mid,IF(A77&lt;=stage_late_level,stage_normal,stage_late))),0))</f>
        <v>4799</v>
      </c>
      <c r="H77" s="1" t="n">
        <f aca="false">IF(A77=1,0,ROUND(build_time_base_min*time_coef_scout_rock*time_growth^(A77-2)*IF(A77&lt;=4,stage_early,IF(A77&lt;=stage_mid_level,stage_mid,IF(A77&lt;=stage_late_level,stage_normal,stage_late)))/60,1))</f>
        <v>4.7</v>
      </c>
    </row>
    <row r="78" customFormat="false" ht="15" hidden="false" customHeight="false" outlineLevel="0" collapsed="false">
      <c r="A78" s="1" t="n">
        <v>18</v>
      </c>
      <c r="B78" s="1" t="n">
        <f aca="false">MAX(1,MIN(6,INT(A78/tier_step_building)))</f>
        <v>4</v>
      </c>
      <c r="C78" s="1" t="n">
        <f aca="false">ROUND(role_cap_base*role_cap_growth^(A78-1),0)</f>
        <v>133</v>
      </c>
      <c r="D78" s="1" t="n">
        <f aca="false">1+train_speed_per_level*(A78-1)</f>
        <v>1.68</v>
      </c>
      <c r="E78" s="1" t="n">
        <f aca="false">IF(A78=1,0,ROUND(cost_role_stone*cost_coef_scout_rock*cost_growth^(A78-2)*IF(A78&lt;=4,stage_early,IF(A78&lt;=stage_mid_level,stage_mid,IF(A78&lt;=stage_late_level,stage_normal,stage_late))),0))</f>
        <v>7486</v>
      </c>
      <c r="F78" s="1" t="n">
        <f aca="false">IF(A78=1,0,ROUND(cost_role_bone*cost_coef_scout_rock*cost_growth^(A78-2)*IF(A78&lt;=4,stage_early,IF(A78&lt;=stage_mid_level,stage_mid,IF(A78&lt;=stage_late_level,stage_normal,stage_late))),0))</f>
        <v>3743</v>
      </c>
      <c r="G78" s="1" t="n">
        <f aca="false">IF(A78=1,0,ROUND(cost_role_hide*cost_coef_scout_rock*cost_growth^(A78-2)*IF(A78&lt;=4,stage_early,IF(A78&lt;=stage_mid_level,stage_mid,IF(A78&lt;=stage_late_level,stage_normal,stage_late))),0))</f>
        <v>6238</v>
      </c>
      <c r="H78" s="1" t="n">
        <f aca="false">IF(A78=1,0,ROUND(build_time_base_min*time_coef_scout_rock*time_growth^(A78-2)*IF(A78&lt;=4,stage_early,IF(A78&lt;=stage_mid_level,stage_mid,IF(A78&lt;=stage_late_level,stage_normal,stage_late)))/60,1))</f>
        <v>5.9</v>
      </c>
    </row>
    <row r="79" customFormat="false" ht="15" hidden="false" customHeight="false" outlineLevel="0" collapsed="false">
      <c r="A79" s="1" t="n">
        <v>19</v>
      </c>
      <c r="B79" s="1" t="n">
        <f aca="false">MAX(1,MIN(6,INT(A79/tier_step_building)))</f>
        <v>4</v>
      </c>
      <c r="C79" s="1" t="n">
        <f aca="false">ROUND(role_cap_base*role_cap_growth^(A79-1),0)</f>
        <v>160</v>
      </c>
      <c r="D79" s="1" t="n">
        <f aca="false">1+train_speed_per_level*(A79-1)</f>
        <v>1.72</v>
      </c>
      <c r="E79" s="1" t="n">
        <f aca="false">IF(A79=1,0,ROUND(cost_role_stone*cost_coef_scout_rock*cost_growth^(A79-2)*IF(A79&lt;=4,stage_early,IF(A79&lt;=stage_mid_level,stage_mid,IF(A79&lt;=stage_late_level,stage_normal,stage_late))),0))</f>
        <v>9732</v>
      </c>
      <c r="F79" s="1" t="n">
        <f aca="false">IF(A79=1,0,ROUND(cost_role_bone*cost_coef_scout_rock*cost_growth^(A79-2)*IF(A79&lt;=4,stage_early,IF(A79&lt;=stage_mid_level,stage_mid,IF(A79&lt;=stage_late_level,stage_normal,stage_late))),0))</f>
        <v>4866</v>
      </c>
      <c r="G79" s="1" t="n">
        <f aca="false">IF(A79=1,0,ROUND(cost_role_hide*cost_coef_scout_rock*cost_growth^(A79-2)*IF(A79&lt;=4,stage_early,IF(A79&lt;=stage_mid_level,stage_mid,IF(A79&lt;=stage_late_level,stage_normal,stage_late))),0))</f>
        <v>8110</v>
      </c>
      <c r="H79" s="1" t="n">
        <f aca="false">IF(A79=1,0,ROUND(build_time_base_min*time_coef_scout_rock*time_growth^(A79-2)*IF(A79&lt;=4,stage_early,IF(A79&lt;=stage_mid_level,stage_mid,IF(A79&lt;=stage_late_level,stage_normal,stage_late)))/60,1))</f>
        <v>7.4</v>
      </c>
    </row>
    <row r="80" customFormat="false" ht="15" hidden="false" customHeight="false" outlineLevel="0" collapsed="false">
      <c r="A80" s="1" t="n">
        <v>20</v>
      </c>
      <c r="B80" s="1" t="n">
        <f aca="false">MAX(1,MIN(6,INT(A80/tier_step_building)))</f>
        <v>5</v>
      </c>
      <c r="C80" s="1" t="n">
        <f aca="false">ROUND(role_cap_base*role_cap_growth^(A80-1),0)</f>
        <v>192</v>
      </c>
      <c r="D80" s="1" t="n">
        <f aca="false">1+train_speed_per_level*(A80-1)</f>
        <v>1.76</v>
      </c>
      <c r="E80" s="1" t="n">
        <f aca="false">IF(A80=1,0,ROUND(cost_role_stone*cost_coef_scout_rock*cost_growth^(A80-2)*IF(A80&lt;=4,stage_early,IF(A80&lt;=stage_mid_level,stage_mid,IF(A80&lt;=stage_late_level,stage_normal,stage_late))),0))</f>
        <v>12651</v>
      </c>
      <c r="F80" s="1" t="n">
        <f aca="false">IF(A80=1,0,ROUND(cost_role_bone*cost_coef_scout_rock*cost_growth^(A80-2)*IF(A80&lt;=4,stage_early,IF(A80&lt;=stage_mid_level,stage_mid,IF(A80&lt;=stage_late_level,stage_normal,stage_late))),0))</f>
        <v>6326</v>
      </c>
      <c r="G80" s="1" t="n">
        <f aca="false">IF(A80=1,0,ROUND(cost_role_hide*cost_coef_scout_rock*cost_growth^(A80-2)*IF(A80&lt;=4,stage_early,IF(A80&lt;=stage_mid_level,stage_mid,IF(A80&lt;=stage_late_level,stage_normal,stage_late))),0))</f>
        <v>10543</v>
      </c>
      <c r="H80" s="1" t="n">
        <f aca="false">IF(A80=1,0,ROUND(build_time_base_min*time_coef_scout_rock*time_growth^(A80-2)*IF(A80&lt;=4,stage_early,IF(A80&lt;=stage_mid_level,stage_mid,IF(A80&lt;=stage_late_level,stage_normal,stage_late)))/60,1))</f>
        <v>9.3</v>
      </c>
    </row>
    <row r="81" customFormat="false" ht="15" hidden="false" customHeight="false" outlineLevel="0" collapsed="false">
      <c r="A81" s="1" t="n">
        <v>21</v>
      </c>
      <c r="B81" s="1" t="n">
        <f aca="false">MAX(1,MIN(6,INT(A81/tier_step_building)))</f>
        <v>5</v>
      </c>
      <c r="C81" s="1" t="n">
        <f aca="false">ROUND(role_cap_base*role_cap_growth^(A81-1),0)</f>
        <v>230</v>
      </c>
      <c r="D81" s="1" t="n">
        <f aca="false">1+train_speed_per_level*(A81-1)</f>
        <v>1.8</v>
      </c>
      <c r="E81" s="1" t="n">
        <f aca="false">IF(A81=1,0,ROUND(cost_role_stone*cost_coef_scout_rock*cost_growth^(A81-2)*IF(A81&lt;=4,stage_early,IF(A81&lt;=stage_mid_level,stage_mid,IF(A81&lt;=stage_late_level,stage_normal,stage_late))),0))</f>
        <v>16447</v>
      </c>
      <c r="F81" s="1" t="n">
        <f aca="false">IF(A81=1,0,ROUND(cost_role_bone*cost_coef_scout_rock*cost_growth^(A81-2)*IF(A81&lt;=4,stage_early,IF(A81&lt;=stage_mid_level,stage_mid,IF(A81&lt;=stage_late_level,stage_normal,stage_late))),0))</f>
        <v>8223</v>
      </c>
      <c r="G81" s="1" t="n">
        <f aca="false">IF(A81=1,0,ROUND(cost_role_hide*cost_coef_scout_rock*cost_growth^(A81-2)*IF(A81&lt;=4,stage_early,IF(A81&lt;=stage_mid_level,stage_mid,IF(A81&lt;=stage_late_level,stage_normal,stage_late))),0))</f>
        <v>13706</v>
      </c>
      <c r="H81" s="1" t="n">
        <f aca="false">IF(A81=1,0,ROUND(build_time_base_min*time_coef_scout_rock*time_growth^(A81-2)*IF(A81&lt;=4,stage_early,IF(A81&lt;=stage_mid_level,stage_mid,IF(A81&lt;=stage_late_level,stage_normal,stage_late)))/60,1))</f>
        <v>11.6</v>
      </c>
    </row>
    <row r="82" customFormat="false" ht="15" hidden="false" customHeight="false" outlineLevel="0" collapsed="false">
      <c r="A82" s="1" t="n">
        <v>22</v>
      </c>
      <c r="B82" s="1" t="n">
        <f aca="false">MAX(1,MIN(6,INT(A82/tier_step_building)))</f>
        <v>5</v>
      </c>
      <c r="C82" s="1" t="n">
        <f aca="false">ROUND(role_cap_base*role_cap_growth^(A82-1),0)</f>
        <v>276</v>
      </c>
      <c r="D82" s="1" t="n">
        <f aca="false">1+train_speed_per_level*(A82-1)</f>
        <v>1.84</v>
      </c>
      <c r="E82" s="1" t="n">
        <f aca="false">IF(A82=1,0,ROUND(cost_role_stone*cost_coef_scout_rock*cost_growth^(A82-2)*IF(A82&lt;=4,stage_early,IF(A82&lt;=stage_mid_level,stage_mid,IF(A82&lt;=stage_late_level,stage_normal,stage_late))),0))</f>
        <v>21381</v>
      </c>
      <c r="F82" s="1" t="n">
        <f aca="false">IF(A82=1,0,ROUND(cost_role_bone*cost_coef_scout_rock*cost_growth^(A82-2)*IF(A82&lt;=4,stage_early,IF(A82&lt;=stage_mid_level,stage_mid,IF(A82&lt;=stage_late_level,stage_normal,stage_late))),0))</f>
        <v>10690</v>
      </c>
      <c r="G82" s="1" t="n">
        <f aca="false">IF(A82=1,0,ROUND(cost_role_hide*cost_coef_scout_rock*cost_growth^(A82-2)*IF(A82&lt;=4,stage_early,IF(A82&lt;=stage_mid_level,stage_mid,IF(A82&lt;=stage_late_level,stage_normal,stage_late))),0))</f>
        <v>17817</v>
      </c>
      <c r="H82" s="1" t="n">
        <f aca="false">IF(A82=1,0,ROUND(build_time_base_min*time_coef_scout_rock*time_growth^(A82-2)*IF(A82&lt;=4,stage_early,IF(A82&lt;=stage_mid_level,stage_mid,IF(A82&lt;=stage_late_level,stage_normal,stage_late)))/60,1))</f>
        <v>14.5</v>
      </c>
    </row>
    <row r="83" customFormat="false" ht="15" hidden="false" customHeight="false" outlineLevel="0" collapsed="false">
      <c r="A83" s="1" t="n">
        <v>23</v>
      </c>
      <c r="B83" s="1" t="n">
        <f aca="false">MAX(1,MIN(6,INT(A83/tier_step_building)))</f>
        <v>5</v>
      </c>
      <c r="C83" s="1" t="n">
        <f aca="false">ROUND(role_cap_base*role_cap_growth^(A83-1),0)</f>
        <v>331</v>
      </c>
      <c r="D83" s="1" t="n">
        <f aca="false">1+train_speed_per_level*(A83-1)</f>
        <v>1.88</v>
      </c>
      <c r="E83" s="1" t="n">
        <f aca="false">IF(A83=1,0,ROUND(cost_role_stone*cost_coef_scout_rock*cost_growth^(A83-2)*IF(A83&lt;=4,stage_early,IF(A83&lt;=stage_mid_level,stage_mid,IF(A83&lt;=stage_late_level,stage_normal,stage_late))),0))</f>
        <v>27795</v>
      </c>
      <c r="F83" s="1" t="n">
        <f aca="false">IF(A83=1,0,ROUND(cost_role_bone*cost_coef_scout_rock*cost_growth^(A83-2)*IF(A83&lt;=4,stage_early,IF(A83&lt;=stage_mid_level,stage_mid,IF(A83&lt;=stage_late_level,stage_normal,stage_late))),0))</f>
        <v>13897</v>
      </c>
      <c r="G83" s="1" t="n">
        <f aca="false">IF(A83=1,0,ROUND(cost_role_hide*cost_coef_scout_rock*cost_growth^(A83-2)*IF(A83&lt;=4,stage_early,IF(A83&lt;=stage_mid_level,stage_mid,IF(A83&lt;=stage_late_level,stage_normal,stage_late))),0))</f>
        <v>23162</v>
      </c>
      <c r="H83" s="1" t="n">
        <f aca="false">IF(A83=1,0,ROUND(build_time_base_min*time_coef_scout_rock*time_growth^(A83-2)*IF(A83&lt;=4,stage_early,IF(A83&lt;=stage_mid_level,stage_mid,IF(A83&lt;=stage_late_level,stage_normal,stage_late)))/60,1))</f>
        <v>18.1</v>
      </c>
    </row>
    <row r="84" customFormat="false" ht="15" hidden="false" customHeight="false" outlineLevel="0" collapsed="false">
      <c r="A84" s="1" t="n">
        <v>24</v>
      </c>
      <c r="B84" s="1" t="n">
        <f aca="false">MAX(1,MIN(6,INT(A84/tier_step_building)))</f>
        <v>6</v>
      </c>
      <c r="C84" s="1" t="n">
        <f aca="false">ROUND(role_cap_base*role_cap_growth^(A84-1),0)</f>
        <v>397</v>
      </c>
      <c r="D84" s="1" t="n">
        <f aca="false">1+train_speed_per_level*(A84-1)</f>
        <v>1.92</v>
      </c>
      <c r="E84" s="1" t="n">
        <f aca="false">IF(A84=1,0,ROUND(cost_role_stone*cost_coef_scout_rock*cost_growth^(A84-2)*IF(A84&lt;=4,stage_early,IF(A84&lt;=stage_mid_level,stage_mid,IF(A84&lt;=stage_late_level,stage_normal,stage_late))),0))</f>
        <v>36133</v>
      </c>
      <c r="F84" s="1" t="n">
        <f aca="false">IF(A84=1,0,ROUND(cost_role_bone*cost_coef_scout_rock*cost_growth^(A84-2)*IF(A84&lt;=4,stage_early,IF(A84&lt;=stage_mid_level,stage_mid,IF(A84&lt;=stage_late_level,stage_normal,stage_late))),0))</f>
        <v>18067</v>
      </c>
      <c r="G84" s="1" t="n">
        <f aca="false">IF(A84=1,0,ROUND(cost_role_hide*cost_coef_scout_rock*cost_growth^(A84-2)*IF(A84&lt;=4,stage_early,IF(A84&lt;=stage_mid_level,stage_mid,IF(A84&lt;=stage_late_level,stage_normal,stage_late))),0))</f>
        <v>30111</v>
      </c>
      <c r="H84" s="1" t="n">
        <f aca="false">IF(A84=1,0,ROUND(build_time_base_min*time_coef_scout_rock*time_growth^(A84-2)*IF(A84&lt;=4,stage_early,IF(A84&lt;=stage_mid_level,stage_mid,IF(A84&lt;=stage_late_level,stage_normal,stage_late)))/60,1))</f>
        <v>22.6</v>
      </c>
    </row>
    <row r="85" customFormat="false" ht="15" hidden="false" customHeight="false" outlineLevel="0" collapsed="false">
      <c r="A85" s="1" t="n">
        <v>25</v>
      </c>
      <c r="B85" s="1" t="n">
        <f aca="false">MAX(1,MIN(6,INT(A85/tier_step_building)))</f>
        <v>6</v>
      </c>
      <c r="C85" s="1" t="n">
        <f aca="false">ROUND(role_cap_base*role_cap_growth^(A85-1),0)</f>
        <v>477</v>
      </c>
      <c r="D85" s="1" t="n">
        <f aca="false">1+train_speed_per_level*(A85-1)</f>
        <v>1.96</v>
      </c>
      <c r="E85" s="1" t="n">
        <f aca="false">IF(A85=1,0,ROUND(cost_role_stone*cost_coef_scout_rock*cost_growth^(A85-2)*IF(A85&lt;=4,stage_early,IF(A85&lt;=stage_mid_level,stage_mid,IF(A85&lt;=stage_late_level,stage_normal,stage_late))),0))</f>
        <v>46973</v>
      </c>
      <c r="F85" s="1" t="n">
        <f aca="false">IF(A85=1,0,ROUND(cost_role_bone*cost_coef_scout_rock*cost_growth^(A85-2)*IF(A85&lt;=4,stage_early,IF(A85&lt;=stage_mid_level,stage_mid,IF(A85&lt;=stage_late_level,stage_normal,stage_late))),0))</f>
        <v>23487</v>
      </c>
      <c r="G85" s="1" t="n">
        <f aca="false">IF(A85=1,0,ROUND(cost_role_hide*cost_coef_scout_rock*cost_growth^(A85-2)*IF(A85&lt;=4,stage_early,IF(A85&lt;=stage_mid_level,stage_mid,IF(A85&lt;=stage_late_level,stage_normal,stage_late))),0))</f>
        <v>39144</v>
      </c>
      <c r="H85" s="1" t="n">
        <f aca="false">IF(A85=1,0,ROUND(build_time_base_min*time_coef_scout_rock*time_growth^(A85-2)*IF(A85&lt;=4,stage_early,IF(A85&lt;=stage_mid_level,stage_mid,IF(A85&lt;=stage_late_level,stage_normal,stage_late)))/60,1))</f>
        <v>28.2</v>
      </c>
    </row>
    <row r="86" customFormat="false" ht="15" hidden="false" customHeight="false" outlineLevel="0" collapsed="false">
      <c r="A86" s="1" t="s">
        <v>152</v>
      </c>
    </row>
    <row r="87" customFormat="false" ht="15" hidden="false" customHeight="false" outlineLevel="0" collapsed="false">
      <c r="A87" s="2" t="s">
        <v>2</v>
      </c>
      <c r="B87" s="2" t="s">
        <v>148</v>
      </c>
      <c r="C87" s="2" t="s">
        <v>149</v>
      </c>
      <c r="D87" s="2" t="s">
        <v>150</v>
      </c>
      <c r="E87" s="2" t="s">
        <v>138</v>
      </c>
      <c r="F87" s="2" t="s">
        <v>146</v>
      </c>
      <c r="G87" s="2" t="s">
        <v>151</v>
      </c>
      <c r="H87" s="2" t="s">
        <v>140</v>
      </c>
    </row>
    <row r="88" customFormat="false" ht="15" hidden="false" customHeight="false" outlineLevel="0" collapsed="false">
      <c r="A88" s="1" t="n">
        <v>1</v>
      </c>
      <c r="B88" s="1" t="n">
        <f aca="false">MAX(1,MIN(6,INT(A88/tier_step_building)))</f>
        <v>1</v>
      </c>
      <c r="C88" s="1" t="n">
        <f aca="false">ROUND(role_cap_base*role_cap_growth^(A88-1),0)</f>
        <v>6</v>
      </c>
      <c r="D88" s="1" t="n">
        <f aca="false">1+train_speed_per_level*(A88-1)</f>
        <v>1</v>
      </c>
      <c r="E88" s="1" t="n">
        <f aca="false">IF(A88=1,0,ROUND(cost_role_stone*cost_coef_battle_ground*cost_growth^(A88-2)*IF(A88&lt;=4,stage_early,IF(A88&lt;=stage_mid_level,stage_mid,IF(A88&lt;=stage_late_level,stage_normal,stage_late))),0))</f>
        <v>0</v>
      </c>
      <c r="F88" s="1" t="n">
        <f aca="false">IF(A88=1,0,ROUND(cost_role_bone*cost_coef_battle_ground*cost_growth^(A88-2)*IF(A88&lt;=4,stage_early,IF(A88&lt;=stage_mid_level,stage_mid,IF(A88&lt;=stage_late_level,stage_normal,stage_late))),0))</f>
        <v>0</v>
      </c>
      <c r="G88" s="1" t="n">
        <f aca="false">IF(A88=1,0,ROUND(cost_role_hide*cost_coef_battle_ground*cost_growth^(A88-2)*IF(A88&lt;=4,stage_early,IF(A88&lt;=stage_mid_level,stage_mid,IF(A88&lt;=stage_late_level,stage_normal,stage_late))),0))</f>
        <v>0</v>
      </c>
      <c r="H88" s="1" t="n">
        <f aca="false">IF(A88=1,0,ROUND(build_time_base_min*time_coef_battle_ground*time_growth^(A88-2)*IF(A88&lt;=4,stage_early,IF(A88&lt;=stage_mid_level,stage_mid,IF(A88&lt;=stage_late_level,stage_normal,stage_late)))/60,1))</f>
        <v>0</v>
      </c>
    </row>
    <row r="89" customFormat="false" ht="15" hidden="false" customHeight="false" outlineLevel="0" collapsed="false">
      <c r="A89" s="1" t="n">
        <v>2</v>
      </c>
      <c r="B89" s="1" t="n">
        <f aca="false">MAX(1,MIN(6,INT(A89/tier_step_building)))</f>
        <v>1</v>
      </c>
      <c r="C89" s="1" t="n">
        <f aca="false">ROUND(role_cap_base*role_cap_growth^(A89-1),0)</f>
        <v>7</v>
      </c>
      <c r="D89" s="1" t="n">
        <f aca="false">1+train_speed_per_level*(A89-1)</f>
        <v>1.04</v>
      </c>
      <c r="E89" s="1" t="n">
        <f aca="false">IF(A89=1,0,ROUND(cost_role_stone*cost_coef_battle_ground*cost_growth^(A89-2)*IF(A89&lt;=4,stage_early,IF(A89&lt;=stage_mid_level,stage_mid,IF(A89&lt;=stage_late_level,stage_normal,stage_late))),0))</f>
        <v>50</v>
      </c>
      <c r="F89" s="1" t="n">
        <f aca="false">IF(A89=1,0,ROUND(cost_role_bone*cost_coef_battle_ground*cost_growth^(A89-2)*IF(A89&lt;=4,stage_early,IF(A89&lt;=stage_mid_level,stage_mid,IF(A89&lt;=stage_late_level,stage_normal,stage_late))),0))</f>
        <v>25</v>
      </c>
      <c r="G89" s="1" t="n">
        <f aca="false">IF(A89=1,0,ROUND(cost_role_hide*cost_coef_battle_ground*cost_growth^(A89-2)*IF(A89&lt;=4,stage_early,IF(A89&lt;=stage_mid_level,stage_mid,IF(A89&lt;=stage_late_level,stage_normal,stage_late))),0))</f>
        <v>42</v>
      </c>
      <c r="H89" s="1" t="n">
        <f aca="false">IF(A89=1,0,ROUND(build_time_base_min*time_coef_battle_ground*time_growth^(A89-2)*IF(A89&lt;=4,stage_early,IF(A89&lt;=stage_mid_level,stage_mid,IF(A89&lt;=stage_late_level,stage_normal,stage_late)))/60,1))</f>
        <v>0.1</v>
      </c>
    </row>
    <row r="90" customFormat="false" ht="15" hidden="false" customHeight="false" outlineLevel="0" collapsed="false">
      <c r="A90" s="1" t="n">
        <v>3</v>
      </c>
      <c r="B90" s="1" t="n">
        <f aca="false">MAX(1,MIN(6,INT(A90/tier_step_building)))</f>
        <v>1</v>
      </c>
      <c r="C90" s="1" t="n">
        <f aca="false">ROUND(role_cap_base*role_cap_growth^(A90-1),0)</f>
        <v>9</v>
      </c>
      <c r="D90" s="1" t="n">
        <f aca="false">1+train_speed_per_level*(A90-1)</f>
        <v>1.08</v>
      </c>
      <c r="E90" s="1" t="n">
        <f aca="false">IF(A90=1,0,ROUND(cost_role_stone*cost_coef_battle_ground*cost_growth^(A90-2)*IF(A90&lt;=4,stage_early,IF(A90&lt;=stage_mid_level,stage_mid,IF(A90&lt;=stage_late_level,stage_normal,stage_late))),0))</f>
        <v>66</v>
      </c>
      <c r="F90" s="1" t="n">
        <f aca="false">IF(A90=1,0,ROUND(cost_role_bone*cost_coef_battle_ground*cost_growth^(A90-2)*IF(A90&lt;=4,stage_early,IF(A90&lt;=stage_mid_level,stage_mid,IF(A90&lt;=stage_late_level,stage_normal,stage_late))),0))</f>
        <v>33</v>
      </c>
      <c r="G90" s="1" t="n">
        <f aca="false">IF(A90=1,0,ROUND(cost_role_hide*cost_coef_battle_ground*cost_growth^(A90-2)*IF(A90&lt;=4,stage_early,IF(A90&lt;=stage_mid_level,stage_mid,IF(A90&lt;=stage_late_level,stage_normal,stage_late))),0))</f>
        <v>55</v>
      </c>
      <c r="H90" s="1" t="n">
        <f aca="false">IF(A90=1,0,ROUND(build_time_base_min*time_coef_battle_ground*time_growth^(A90-2)*IF(A90&lt;=4,stage_early,IF(A90&lt;=stage_mid_level,stage_mid,IF(A90&lt;=stage_late_level,stage_normal,stage_late)))/60,1))</f>
        <v>0.1</v>
      </c>
    </row>
    <row r="91" customFormat="false" ht="15" hidden="false" customHeight="false" outlineLevel="0" collapsed="false">
      <c r="A91" s="1" t="n">
        <v>4</v>
      </c>
      <c r="B91" s="1" t="n">
        <f aca="false">MAX(1,MIN(6,INT(A91/tier_step_building)))</f>
        <v>1</v>
      </c>
      <c r="C91" s="1" t="n">
        <f aca="false">ROUND(role_cap_base*role_cap_growth^(A91-1),0)</f>
        <v>10</v>
      </c>
      <c r="D91" s="1" t="n">
        <f aca="false">1+train_speed_per_level*(A91-1)</f>
        <v>1.12</v>
      </c>
      <c r="E91" s="1" t="n">
        <f aca="false">IF(A91=1,0,ROUND(cost_role_stone*cost_coef_battle_ground*cost_growth^(A91-2)*IF(A91&lt;=4,stage_early,IF(A91&lt;=stage_mid_level,stage_mid,IF(A91&lt;=stage_late_level,stage_normal,stage_late))),0))</f>
        <v>85</v>
      </c>
      <c r="F91" s="1" t="n">
        <f aca="false">IF(A91=1,0,ROUND(cost_role_bone*cost_coef_battle_ground*cost_growth^(A91-2)*IF(A91&lt;=4,stage_early,IF(A91&lt;=stage_mid_level,stage_mid,IF(A91&lt;=stage_late_level,stage_normal,stage_late))),0))</f>
        <v>43</v>
      </c>
      <c r="G91" s="1" t="n">
        <f aca="false">IF(A91=1,0,ROUND(cost_role_hide*cost_coef_battle_ground*cost_growth^(A91-2)*IF(A91&lt;=4,stage_early,IF(A91&lt;=stage_mid_level,stage_mid,IF(A91&lt;=stage_late_level,stage_normal,stage_late))),0))</f>
        <v>71</v>
      </c>
      <c r="H91" s="1" t="n">
        <f aca="false">IF(A91=1,0,ROUND(build_time_base_min*time_coef_battle_ground*time_growth^(A91-2)*IF(A91&lt;=4,stage_early,IF(A91&lt;=stage_mid_level,stage_mid,IF(A91&lt;=stage_late_level,stage_normal,stage_late)))/60,1))</f>
        <v>0.1</v>
      </c>
    </row>
    <row r="92" customFormat="false" ht="15" hidden="false" customHeight="false" outlineLevel="0" collapsed="false">
      <c r="A92" s="1" t="n">
        <v>5</v>
      </c>
      <c r="B92" s="1" t="n">
        <f aca="false">MAX(1,MIN(6,INT(A92/tier_step_building)))</f>
        <v>1</v>
      </c>
      <c r="C92" s="1" t="n">
        <f aca="false">ROUND(role_cap_base*role_cap_growth^(A92-1),0)</f>
        <v>12</v>
      </c>
      <c r="D92" s="1" t="n">
        <f aca="false">1+train_speed_per_level*(A92-1)</f>
        <v>1.16</v>
      </c>
      <c r="E92" s="1" t="n">
        <f aca="false">IF(A92=1,0,ROUND(cost_role_stone*cost_coef_battle_ground*cost_growth^(A92-2)*IF(A92&lt;=4,stage_early,IF(A92&lt;=stage_mid_level,stage_mid,IF(A92&lt;=stage_late_level,stage_normal,stage_late))),0))</f>
        <v>194</v>
      </c>
      <c r="F92" s="1" t="n">
        <f aca="false">IF(A92=1,0,ROUND(cost_role_bone*cost_coef_battle_ground*cost_growth^(A92-2)*IF(A92&lt;=4,stage_early,IF(A92&lt;=stage_mid_level,stage_mid,IF(A92&lt;=stage_late_level,stage_normal,stage_late))),0))</f>
        <v>97</v>
      </c>
      <c r="G92" s="1" t="n">
        <f aca="false">IF(A92=1,0,ROUND(cost_role_hide*cost_coef_battle_ground*cost_growth^(A92-2)*IF(A92&lt;=4,stage_early,IF(A92&lt;=stage_mid_level,stage_mid,IF(A92&lt;=stage_late_level,stage_normal,stage_late))),0))</f>
        <v>161</v>
      </c>
      <c r="H92" s="1" t="n">
        <f aca="false">IF(A92=1,0,ROUND(build_time_base_min*time_coef_battle_ground*time_growth^(A92-2)*IF(A92&lt;=4,stage_early,IF(A92&lt;=stage_mid_level,stage_mid,IF(A92&lt;=stage_late_level,stage_normal,stage_late)))/60,1))</f>
        <v>0.3</v>
      </c>
    </row>
    <row r="93" customFormat="false" ht="15" hidden="false" customHeight="false" outlineLevel="0" collapsed="false">
      <c r="A93" s="1" t="n">
        <v>6</v>
      </c>
      <c r="B93" s="1" t="n">
        <f aca="false">MAX(1,MIN(6,INT(A93/tier_step_building)))</f>
        <v>1</v>
      </c>
      <c r="C93" s="1" t="n">
        <f aca="false">ROUND(role_cap_base*role_cap_growth^(A93-1),0)</f>
        <v>15</v>
      </c>
      <c r="D93" s="1" t="n">
        <f aca="false">1+train_speed_per_level*(A93-1)</f>
        <v>1.2</v>
      </c>
      <c r="E93" s="1" t="n">
        <f aca="false">IF(A93=1,0,ROUND(cost_role_stone*cost_coef_battle_ground*cost_growth^(A93-2)*IF(A93&lt;=4,stage_early,IF(A93&lt;=stage_mid_level,stage_mid,IF(A93&lt;=stage_late_level,stage_normal,stage_late))),0))</f>
        <v>252</v>
      </c>
      <c r="F93" s="1" t="n">
        <f aca="false">IF(A93=1,0,ROUND(cost_role_bone*cost_coef_battle_ground*cost_growth^(A93-2)*IF(A93&lt;=4,stage_early,IF(A93&lt;=stage_mid_level,stage_mid,IF(A93&lt;=stage_late_level,stage_normal,stage_late))),0))</f>
        <v>126</v>
      </c>
      <c r="G93" s="1" t="n">
        <f aca="false">IF(A93=1,0,ROUND(cost_role_hide*cost_coef_battle_ground*cost_growth^(A93-2)*IF(A93&lt;=4,stage_early,IF(A93&lt;=stage_mid_level,stage_mid,IF(A93&lt;=stage_late_level,stage_normal,stage_late))),0))</f>
        <v>210</v>
      </c>
      <c r="H93" s="1" t="n">
        <f aca="false">IF(A93=1,0,ROUND(build_time_base_min*time_coef_battle_ground*time_growth^(A93-2)*IF(A93&lt;=4,stage_early,IF(A93&lt;=stage_mid_level,stage_mid,IF(A93&lt;=stage_late_level,stage_normal,stage_late)))/60,1))</f>
        <v>0.4</v>
      </c>
    </row>
    <row r="94" customFormat="false" ht="15" hidden="false" customHeight="false" outlineLevel="0" collapsed="false">
      <c r="A94" s="1" t="n">
        <v>7</v>
      </c>
      <c r="B94" s="1" t="n">
        <f aca="false">MAX(1,MIN(6,INT(A94/tier_step_building)))</f>
        <v>1</v>
      </c>
      <c r="C94" s="1" t="n">
        <f aca="false">ROUND(role_cap_base*role_cap_growth^(A94-1),0)</f>
        <v>18</v>
      </c>
      <c r="D94" s="1" t="n">
        <f aca="false">1+train_speed_per_level*(A94-1)</f>
        <v>1.24</v>
      </c>
      <c r="E94" s="1" t="n">
        <f aca="false">IF(A94=1,0,ROUND(cost_role_stone*cost_coef_battle_ground*cost_growth^(A94-2)*IF(A94&lt;=4,stage_early,IF(A94&lt;=stage_mid_level,stage_mid,IF(A94&lt;=stage_late_level,stage_normal,stage_late))),0))</f>
        <v>327</v>
      </c>
      <c r="F94" s="1" t="n">
        <f aca="false">IF(A94=1,0,ROUND(cost_role_bone*cost_coef_battle_ground*cost_growth^(A94-2)*IF(A94&lt;=4,stage_early,IF(A94&lt;=stage_mid_level,stage_mid,IF(A94&lt;=stage_late_level,stage_normal,stage_late))),0))</f>
        <v>164</v>
      </c>
      <c r="G94" s="1" t="n">
        <f aca="false">IF(A94=1,0,ROUND(cost_role_hide*cost_coef_battle_ground*cost_growth^(A94-2)*IF(A94&lt;=4,stage_early,IF(A94&lt;=stage_mid_level,stage_mid,IF(A94&lt;=stage_late_level,stage_normal,stage_late))),0))</f>
        <v>273</v>
      </c>
      <c r="H94" s="1" t="n">
        <f aca="false">IF(A94=1,0,ROUND(build_time_base_min*time_coef_battle_ground*time_growth^(A94-2)*IF(A94&lt;=4,stage_early,IF(A94&lt;=stage_mid_level,stage_mid,IF(A94&lt;=stage_late_level,stage_normal,stage_late)))/60,1))</f>
        <v>0.5</v>
      </c>
    </row>
    <row r="95" customFormat="false" ht="15" hidden="false" customHeight="false" outlineLevel="0" collapsed="false">
      <c r="A95" s="1" t="n">
        <v>8</v>
      </c>
      <c r="B95" s="1" t="n">
        <f aca="false">MAX(1,MIN(6,INT(A95/tier_step_building)))</f>
        <v>2</v>
      </c>
      <c r="C95" s="1" t="n">
        <f aca="false">ROUND(role_cap_base*role_cap_growth^(A95-1),0)</f>
        <v>21</v>
      </c>
      <c r="D95" s="1" t="n">
        <f aca="false">1+train_speed_per_level*(A95-1)</f>
        <v>1.28</v>
      </c>
      <c r="E95" s="1" t="n">
        <f aca="false">IF(A95=1,0,ROUND(cost_role_stone*cost_coef_battle_ground*cost_growth^(A95-2)*IF(A95&lt;=4,stage_early,IF(A95&lt;=stage_mid_level,stage_mid,IF(A95&lt;=stage_late_level,stage_normal,stage_late))),0))</f>
        <v>426</v>
      </c>
      <c r="F95" s="1" t="n">
        <f aca="false">IF(A95=1,0,ROUND(cost_role_bone*cost_coef_battle_ground*cost_growth^(A95-2)*IF(A95&lt;=4,stage_early,IF(A95&lt;=stage_mid_level,stage_mid,IF(A95&lt;=stage_late_level,stage_normal,stage_late))),0))</f>
        <v>213</v>
      </c>
      <c r="G95" s="1" t="n">
        <f aca="false">IF(A95=1,0,ROUND(cost_role_hide*cost_coef_battle_ground*cost_growth^(A95-2)*IF(A95&lt;=4,stage_early,IF(A95&lt;=stage_mid_level,stage_mid,IF(A95&lt;=stage_late_level,stage_normal,stage_late))),0))</f>
        <v>355</v>
      </c>
      <c r="H95" s="1" t="n">
        <f aca="false">IF(A95=1,0,ROUND(build_time_base_min*time_coef_battle_ground*time_growth^(A95-2)*IF(A95&lt;=4,stage_early,IF(A95&lt;=stage_mid_level,stage_mid,IF(A95&lt;=stage_late_level,stage_normal,stage_late)))/60,1))</f>
        <v>0.6</v>
      </c>
    </row>
    <row r="96" customFormat="false" ht="15" hidden="false" customHeight="false" outlineLevel="0" collapsed="false">
      <c r="A96" s="1" t="n">
        <v>9</v>
      </c>
      <c r="B96" s="1" t="n">
        <f aca="false">MAX(1,MIN(6,INT(A96/tier_step_building)))</f>
        <v>2</v>
      </c>
      <c r="C96" s="1" t="n">
        <f aca="false">ROUND(role_cap_base*role_cap_growth^(A96-1),0)</f>
        <v>26</v>
      </c>
      <c r="D96" s="1" t="n">
        <f aca="false">1+train_speed_per_level*(A96-1)</f>
        <v>1.32</v>
      </c>
      <c r="E96" s="1" t="n">
        <f aca="false">IF(A96=1,0,ROUND(cost_role_stone*cost_coef_battle_ground*cost_growth^(A96-2)*IF(A96&lt;=4,stage_early,IF(A96&lt;=stage_mid_level,stage_mid,IF(A96&lt;=stage_late_level,stage_normal,stage_late))),0))</f>
        <v>553</v>
      </c>
      <c r="F96" s="1" t="n">
        <f aca="false">IF(A96=1,0,ROUND(cost_role_bone*cost_coef_battle_ground*cost_growth^(A96-2)*IF(A96&lt;=4,stage_early,IF(A96&lt;=stage_mid_level,stage_mid,IF(A96&lt;=stage_late_level,stage_normal,stage_late))),0))</f>
        <v>277</v>
      </c>
      <c r="G96" s="1" t="n">
        <f aca="false">IF(A96=1,0,ROUND(cost_role_hide*cost_coef_battle_ground*cost_growth^(A96-2)*IF(A96&lt;=4,stage_early,IF(A96&lt;=stage_mid_level,stage_mid,IF(A96&lt;=stage_late_level,stage_normal,stage_late))),0))</f>
        <v>461</v>
      </c>
      <c r="H96" s="1" t="n">
        <f aca="false">IF(A96=1,0,ROUND(build_time_base_min*time_coef_battle_ground*time_growth^(A96-2)*IF(A96&lt;=4,stage_early,IF(A96&lt;=stage_mid_level,stage_mid,IF(A96&lt;=stage_late_level,stage_normal,stage_late)))/60,1))</f>
        <v>0.7</v>
      </c>
    </row>
    <row r="97" customFormat="false" ht="15" hidden="false" customHeight="false" outlineLevel="0" collapsed="false">
      <c r="A97" s="1" t="n">
        <v>10</v>
      </c>
      <c r="B97" s="1" t="n">
        <f aca="false">MAX(1,MIN(6,INT(A97/tier_step_building)))</f>
        <v>2</v>
      </c>
      <c r="C97" s="1" t="n">
        <f aca="false">ROUND(role_cap_base*role_cap_growth^(A97-1),0)</f>
        <v>31</v>
      </c>
      <c r="D97" s="1" t="n">
        <f aca="false">1+train_speed_per_level*(A97-1)</f>
        <v>1.36</v>
      </c>
      <c r="E97" s="1" t="n">
        <f aca="false">IF(A97=1,0,ROUND(cost_role_stone*cost_coef_battle_ground*cost_growth^(A97-2)*IF(A97&lt;=4,stage_early,IF(A97&lt;=stage_mid_level,stage_mid,IF(A97&lt;=stage_late_level,stage_normal,stage_late))),0))</f>
        <v>719</v>
      </c>
      <c r="F97" s="1" t="n">
        <f aca="false">IF(A97=1,0,ROUND(cost_role_bone*cost_coef_battle_ground*cost_growth^(A97-2)*IF(A97&lt;=4,stage_early,IF(A97&lt;=stage_mid_level,stage_mid,IF(A97&lt;=stage_late_level,stage_normal,stage_late))),0))</f>
        <v>360</v>
      </c>
      <c r="G97" s="1" t="n">
        <f aca="false">IF(A97=1,0,ROUND(cost_role_hide*cost_coef_battle_ground*cost_growth^(A97-2)*IF(A97&lt;=4,stage_early,IF(A97&lt;=stage_mid_level,stage_mid,IF(A97&lt;=stage_late_level,stage_normal,stage_late))),0))</f>
        <v>600</v>
      </c>
      <c r="H97" s="1" t="n">
        <f aca="false">IF(A97=1,0,ROUND(build_time_base_min*time_coef_battle_ground*time_growth^(A97-2)*IF(A97&lt;=4,stage_early,IF(A97&lt;=stage_mid_level,stage_mid,IF(A97&lt;=stage_late_level,stage_normal,stage_late)))/60,1))</f>
        <v>0.9</v>
      </c>
    </row>
    <row r="98" customFormat="false" ht="15" hidden="false" customHeight="false" outlineLevel="0" collapsed="false">
      <c r="A98" s="1" t="n">
        <v>11</v>
      </c>
      <c r="B98" s="1" t="n">
        <f aca="false">MAX(1,MIN(6,INT(A98/tier_step_building)))</f>
        <v>2</v>
      </c>
      <c r="C98" s="1" t="n">
        <f aca="false">ROUND(role_cap_base*role_cap_growth^(A98-1),0)</f>
        <v>37</v>
      </c>
      <c r="D98" s="1" t="n">
        <f aca="false">1+train_speed_per_level*(A98-1)</f>
        <v>1.4</v>
      </c>
      <c r="E98" s="1" t="n">
        <f aca="false">IF(A98=1,0,ROUND(cost_role_stone*cost_coef_battle_ground*cost_growth^(A98-2)*IF(A98&lt;=4,stage_early,IF(A98&lt;=stage_mid_level,stage_mid,IF(A98&lt;=stage_late_level,stage_normal,stage_late))),0))</f>
        <v>1336</v>
      </c>
      <c r="F98" s="1" t="n">
        <f aca="false">IF(A98=1,0,ROUND(cost_role_bone*cost_coef_battle_ground*cost_growth^(A98-2)*IF(A98&lt;=4,stage_early,IF(A98&lt;=stage_mid_level,stage_mid,IF(A98&lt;=stage_late_level,stage_normal,stage_late))),0))</f>
        <v>668</v>
      </c>
      <c r="G98" s="1" t="n">
        <f aca="false">IF(A98=1,0,ROUND(cost_role_hide*cost_coef_battle_ground*cost_growth^(A98-2)*IF(A98&lt;=4,stage_early,IF(A98&lt;=stage_mid_level,stage_mid,IF(A98&lt;=stage_late_level,stage_normal,stage_late))),0))</f>
        <v>1113</v>
      </c>
      <c r="H98" s="1" t="n">
        <f aca="false">IF(A98=1,0,ROUND(build_time_base_min*time_coef_battle_ground*time_growth^(A98-2)*IF(A98&lt;=4,stage_early,IF(A98&lt;=stage_mid_level,stage_mid,IF(A98&lt;=stage_late_level,stage_normal,stage_late)))/60,1))</f>
        <v>1.6</v>
      </c>
    </row>
    <row r="99" customFormat="false" ht="15" hidden="false" customHeight="false" outlineLevel="0" collapsed="false">
      <c r="A99" s="1" t="n">
        <v>12</v>
      </c>
      <c r="B99" s="1" t="n">
        <f aca="false">MAX(1,MIN(6,INT(A99/tier_step_building)))</f>
        <v>3</v>
      </c>
      <c r="C99" s="1" t="n">
        <f aca="false">ROUND(role_cap_base*role_cap_growth^(A99-1),0)</f>
        <v>45</v>
      </c>
      <c r="D99" s="1" t="n">
        <f aca="false">1+train_speed_per_level*(A99-1)</f>
        <v>1.44</v>
      </c>
      <c r="E99" s="1" t="n">
        <f aca="false">IF(A99=1,0,ROUND(cost_role_stone*cost_coef_battle_ground*cost_growth^(A99-2)*IF(A99&lt;=4,stage_early,IF(A99&lt;=stage_mid_level,stage_mid,IF(A99&lt;=stage_late_level,stage_normal,stage_late))),0))</f>
        <v>1737</v>
      </c>
      <c r="F99" s="1" t="n">
        <f aca="false">IF(A99=1,0,ROUND(cost_role_bone*cost_coef_battle_ground*cost_growth^(A99-2)*IF(A99&lt;=4,stage_early,IF(A99&lt;=stage_mid_level,stage_mid,IF(A99&lt;=stage_late_level,stage_normal,stage_late))),0))</f>
        <v>869</v>
      </c>
      <c r="G99" s="1" t="n">
        <f aca="false">IF(A99=1,0,ROUND(cost_role_hide*cost_coef_battle_ground*cost_growth^(A99-2)*IF(A99&lt;=4,stage_early,IF(A99&lt;=stage_mid_level,stage_mid,IF(A99&lt;=stage_late_level,stage_normal,stage_late))),0))</f>
        <v>1448</v>
      </c>
      <c r="H99" s="1" t="n">
        <f aca="false">IF(A99=1,0,ROUND(build_time_base_min*time_coef_battle_ground*time_growth^(A99-2)*IF(A99&lt;=4,stage_early,IF(A99&lt;=stage_mid_level,stage_mid,IF(A99&lt;=stage_late_level,stage_normal,stage_late)))/60,1))</f>
        <v>2</v>
      </c>
    </row>
    <row r="100" customFormat="false" ht="15" hidden="false" customHeight="false" outlineLevel="0" collapsed="false">
      <c r="A100" s="1" t="n">
        <v>13</v>
      </c>
      <c r="B100" s="1" t="n">
        <f aca="false">MAX(1,MIN(6,INT(A100/tier_step_building)))</f>
        <v>3</v>
      </c>
      <c r="C100" s="1" t="n">
        <f aca="false">ROUND(role_cap_base*role_cap_growth^(A100-1),0)</f>
        <v>53</v>
      </c>
      <c r="D100" s="1" t="n">
        <f aca="false">1+train_speed_per_level*(A100-1)</f>
        <v>1.48</v>
      </c>
      <c r="E100" s="1" t="n">
        <f aca="false">IF(A100=1,0,ROUND(cost_role_stone*cost_coef_battle_ground*cost_growth^(A100-2)*IF(A100&lt;=4,stage_early,IF(A100&lt;=stage_mid_level,stage_mid,IF(A100&lt;=stage_late_level,stage_normal,stage_late))),0))</f>
        <v>2258</v>
      </c>
      <c r="F100" s="1" t="n">
        <f aca="false">IF(A100=1,0,ROUND(cost_role_bone*cost_coef_battle_ground*cost_growth^(A100-2)*IF(A100&lt;=4,stage_early,IF(A100&lt;=stage_mid_level,stage_mid,IF(A100&lt;=stage_late_level,stage_normal,stage_late))),0))</f>
        <v>1129</v>
      </c>
      <c r="G100" s="1" t="n">
        <f aca="false">IF(A100=1,0,ROUND(cost_role_hide*cost_coef_battle_ground*cost_growth^(A100-2)*IF(A100&lt;=4,stage_early,IF(A100&lt;=stage_mid_level,stage_mid,IF(A100&lt;=stage_late_level,stage_normal,stage_late))),0))</f>
        <v>1882</v>
      </c>
      <c r="H100" s="1" t="n">
        <f aca="false">IF(A100=1,0,ROUND(build_time_base_min*time_coef_battle_ground*time_growth^(A100-2)*IF(A100&lt;=4,stage_early,IF(A100&lt;=stage_mid_level,stage_mid,IF(A100&lt;=stage_late_level,stage_normal,stage_late)))/60,1))</f>
        <v>2.5</v>
      </c>
    </row>
    <row r="101" customFormat="false" ht="15" hidden="false" customHeight="false" outlineLevel="0" collapsed="false">
      <c r="A101" s="1" t="n">
        <v>14</v>
      </c>
      <c r="B101" s="1" t="n">
        <f aca="false">MAX(1,MIN(6,INT(A101/tier_step_building)))</f>
        <v>3</v>
      </c>
      <c r="C101" s="1" t="n">
        <f aca="false">ROUND(role_cap_base*role_cap_growth^(A101-1),0)</f>
        <v>64</v>
      </c>
      <c r="D101" s="1" t="n">
        <f aca="false">1+train_speed_per_level*(A101-1)</f>
        <v>1.52</v>
      </c>
      <c r="E101" s="1" t="n">
        <f aca="false">IF(A101=1,0,ROUND(cost_role_stone*cost_coef_battle_ground*cost_growth^(A101-2)*IF(A101&lt;=4,stage_early,IF(A101&lt;=stage_mid_level,stage_mid,IF(A101&lt;=stage_late_level,stage_normal,stage_late))),0))</f>
        <v>2936</v>
      </c>
      <c r="F101" s="1" t="n">
        <f aca="false">IF(A101=1,0,ROUND(cost_role_bone*cost_coef_battle_ground*cost_growth^(A101-2)*IF(A101&lt;=4,stage_early,IF(A101&lt;=stage_mid_level,stage_mid,IF(A101&lt;=stage_late_level,stage_normal,stage_late))),0))</f>
        <v>1468</v>
      </c>
      <c r="G101" s="1" t="n">
        <f aca="false">IF(A101=1,0,ROUND(cost_role_hide*cost_coef_battle_ground*cost_growth^(A101-2)*IF(A101&lt;=4,stage_early,IF(A101&lt;=stage_mid_level,stage_mid,IF(A101&lt;=stage_late_level,stage_normal,stage_late))),0))</f>
        <v>2446</v>
      </c>
      <c r="H101" s="1" t="n">
        <f aca="false">IF(A101=1,0,ROUND(build_time_base_min*time_coef_battle_ground*time_growth^(A101-2)*IF(A101&lt;=4,stage_early,IF(A101&lt;=stage_mid_level,stage_mid,IF(A101&lt;=stage_late_level,stage_normal,stage_late)))/60,1))</f>
        <v>3.2</v>
      </c>
    </row>
    <row r="102" customFormat="false" ht="15" hidden="false" customHeight="false" outlineLevel="0" collapsed="false">
      <c r="A102" s="1" t="n">
        <v>15</v>
      </c>
      <c r="B102" s="1" t="n">
        <f aca="false">MAX(1,MIN(6,INT(A102/tier_step_building)))</f>
        <v>3</v>
      </c>
      <c r="C102" s="1" t="n">
        <f aca="false">ROUND(role_cap_base*role_cap_growth^(A102-1),0)</f>
        <v>77</v>
      </c>
      <c r="D102" s="1" t="n">
        <f aca="false">1+train_speed_per_level*(A102-1)</f>
        <v>1.56</v>
      </c>
      <c r="E102" s="1" t="n">
        <f aca="false">IF(A102=1,0,ROUND(cost_role_stone*cost_coef_battle_ground*cost_growth^(A102-2)*IF(A102&lt;=4,stage_early,IF(A102&lt;=stage_mid_level,stage_mid,IF(A102&lt;=stage_late_level,stage_normal,stage_late))),0))</f>
        <v>3816</v>
      </c>
      <c r="F102" s="1" t="n">
        <f aca="false">IF(A102=1,0,ROUND(cost_role_bone*cost_coef_battle_ground*cost_growth^(A102-2)*IF(A102&lt;=4,stage_early,IF(A102&lt;=stage_mid_level,stage_mid,IF(A102&lt;=stage_late_level,stage_normal,stage_late))),0))</f>
        <v>1908</v>
      </c>
      <c r="G102" s="1" t="n">
        <f aca="false">IF(A102=1,0,ROUND(cost_role_hide*cost_coef_battle_ground*cost_growth^(A102-2)*IF(A102&lt;=4,stage_early,IF(A102&lt;=stage_mid_level,stage_mid,IF(A102&lt;=stage_late_level,stage_normal,stage_late))),0))</f>
        <v>3180</v>
      </c>
      <c r="H102" s="1" t="n">
        <f aca="false">IF(A102=1,0,ROUND(build_time_base_min*time_coef_battle_ground*time_growth^(A102-2)*IF(A102&lt;=4,stage_early,IF(A102&lt;=stage_mid_level,stage_mid,IF(A102&lt;=stage_late_level,stage_normal,stage_late)))/60,1))</f>
        <v>3.9</v>
      </c>
    </row>
    <row r="103" customFormat="false" ht="15" hidden="false" customHeight="false" outlineLevel="0" collapsed="false">
      <c r="A103" s="1" t="n">
        <v>16</v>
      </c>
      <c r="B103" s="1" t="n">
        <f aca="false">MAX(1,MIN(6,INT(A103/tier_step_building)))</f>
        <v>4</v>
      </c>
      <c r="C103" s="1" t="n">
        <f aca="false">ROUND(role_cap_base*role_cap_growth^(A103-1),0)</f>
        <v>92</v>
      </c>
      <c r="D103" s="1" t="n">
        <f aca="false">1+train_speed_per_level*(A103-1)</f>
        <v>1.6</v>
      </c>
      <c r="E103" s="1" t="n">
        <f aca="false">IF(A103=1,0,ROUND(cost_role_stone*cost_coef_battle_ground*cost_growth^(A103-2)*IF(A103&lt;=4,stage_early,IF(A103&lt;=stage_mid_level,stage_mid,IF(A103&lt;=stage_late_level,stage_normal,stage_late))),0))</f>
        <v>6201</v>
      </c>
      <c r="F103" s="1" t="n">
        <f aca="false">IF(A103=1,0,ROUND(cost_role_bone*cost_coef_battle_ground*cost_growth^(A103-2)*IF(A103&lt;=4,stage_early,IF(A103&lt;=stage_mid_level,stage_mid,IF(A103&lt;=stage_late_level,stage_normal,stage_late))),0))</f>
        <v>3101</v>
      </c>
      <c r="G103" s="1" t="n">
        <f aca="false">IF(A103=1,0,ROUND(cost_role_hide*cost_coef_battle_ground*cost_growth^(A103-2)*IF(A103&lt;=4,stage_early,IF(A103&lt;=stage_mid_level,stage_mid,IF(A103&lt;=stage_late_level,stage_normal,stage_late))),0))</f>
        <v>5168</v>
      </c>
      <c r="H103" s="1" t="n">
        <f aca="false">IF(A103=1,0,ROUND(build_time_base_min*time_coef_battle_ground*time_growth^(A103-2)*IF(A103&lt;=4,stage_early,IF(A103&lt;=stage_mid_level,stage_mid,IF(A103&lt;=stage_late_level,stage_normal,stage_late)))/60,1))</f>
        <v>6.2</v>
      </c>
    </row>
    <row r="104" customFormat="false" ht="15" hidden="false" customHeight="false" outlineLevel="0" collapsed="false">
      <c r="A104" s="1" t="n">
        <v>17</v>
      </c>
      <c r="B104" s="1" t="n">
        <f aca="false">MAX(1,MIN(6,INT(A104/tier_step_building)))</f>
        <v>4</v>
      </c>
      <c r="C104" s="1" t="n">
        <f aca="false">ROUND(role_cap_base*role_cap_growth^(A104-1),0)</f>
        <v>111</v>
      </c>
      <c r="D104" s="1" t="n">
        <f aca="false">1+train_speed_per_level*(A104-1)</f>
        <v>1.64</v>
      </c>
      <c r="E104" s="1" t="n">
        <f aca="false">IF(A104=1,0,ROUND(cost_role_stone*cost_coef_battle_ground*cost_growth^(A104-2)*IF(A104&lt;=4,stage_early,IF(A104&lt;=stage_mid_level,stage_mid,IF(A104&lt;=stage_late_level,stage_normal,stage_late))),0))</f>
        <v>8062</v>
      </c>
      <c r="F104" s="1" t="n">
        <f aca="false">IF(A104=1,0,ROUND(cost_role_bone*cost_coef_battle_ground*cost_growth^(A104-2)*IF(A104&lt;=4,stage_early,IF(A104&lt;=stage_mid_level,stage_mid,IF(A104&lt;=stage_late_level,stage_normal,stage_late))),0))</f>
        <v>4031</v>
      </c>
      <c r="G104" s="1" t="n">
        <f aca="false">IF(A104=1,0,ROUND(cost_role_hide*cost_coef_battle_ground*cost_growth^(A104-2)*IF(A104&lt;=4,stage_early,IF(A104&lt;=stage_mid_level,stage_mid,IF(A104&lt;=stage_late_level,stage_normal,stage_late))),0))</f>
        <v>6718</v>
      </c>
      <c r="H104" s="1" t="n">
        <f aca="false">IF(A104=1,0,ROUND(build_time_base_min*time_coef_battle_ground*time_growth^(A104-2)*IF(A104&lt;=4,stage_early,IF(A104&lt;=stage_mid_level,stage_mid,IF(A104&lt;=stage_late_level,stage_normal,stage_late)))/60,1))</f>
        <v>7.7</v>
      </c>
    </row>
    <row r="105" customFormat="false" ht="15" hidden="false" customHeight="false" outlineLevel="0" collapsed="false">
      <c r="A105" s="1" t="n">
        <v>18</v>
      </c>
      <c r="B105" s="1" t="n">
        <f aca="false">MAX(1,MIN(6,INT(A105/tier_step_building)))</f>
        <v>4</v>
      </c>
      <c r="C105" s="1" t="n">
        <f aca="false">ROUND(role_cap_base*role_cap_growth^(A105-1),0)</f>
        <v>133</v>
      </c>
      <c r="D105" s="1" t="n">
        <f aca="false">1+train_speed_per_level*(A105-1)</f>
        <v>1.68</v>
      </c>
      <c r="E105" s="1" t="n">
        <f aca="false">IF(A105=1,0,ROUND(cost_role_stone*cost_coef_battle_ground*cost_growth^(A105-2)*IF(A105&lt;=4,stage_early,IF(A105&lt;=stage_mid_level,stage_mid,IF(A105&lt;=stage_late_level,stage_normal,stage_late))),0))</f>
        <v>10480</v>
      </c>
      <c r="F105" s="1" t="n">
        <f aca="false">IF(A105=1,0,ROUND(cost_role_bone*cost_coef_battle_ground*cost_growth^(A105-2)*IF(A105&lt;=4,stage_early,IF(A105&lt;=stage_mid_level,stage_mid,IF(A105&lt;=stage_late_level,stage_normal,stage_late))),0))</f>
        <v>5240</v>
      </c>
      <c r="G105" s="1" t="n">
        <f aca="false">IF(A105=1,0,ROUND(cost_role_hide*cost_coef_battle_ground*cost_growth^(A105-2)*IF(A105&lt;=4,stage_early,IF(A105&lt;=stage_mid_level,stage_mid,IF(A105&lt;=stage_late_level,stage_normal,stage_late))),0))</f>
        <v>8734</v>
      </c>
      <c r="H105" s="1" t="n">
        <f aca="false">IF(A105=1,0,ROUND(build_time_base_min*time_coef_battle_ground*time_growth^(A105-2)*IF(A105&lt;=4,stage_early,IF(A105&lt;=stage_mid_level,stage_mid,IF(A105&lt;=stage_late_level,stage_normal,stage_late)))/60,1))</f>
        <v>9.6</v>
      </c>
    </row>
    <row r="106" customFormat="false" ht="15" hidden="false" customHeight="false" outlineLevel="0" collapsed="false">
      <c r="A106" s="1" t="n">
        <v>19</v>
      </c>
      <c r="B106" s="1" t="n">
        <f aca="false">MAX(1,MIN(6,INT(A106/tier_step_building)))</f>
        <v>4</v>
      </c>
      <c r="C106" s="1" t="n">
        <f aca="false">ROUND(role_cap_base*role_cap_growth^(A106-1),0)</f>
        <v>160</v>
      </c>
      <c r="D106" s="1" t="n">
        <f aca="false">1+train_speed_per_level*(A106-1)</f>
        <v>1.72</v>
      </c>
      <c r="E106" s="1" t="n">
        <f aca="false">IF(A106=1,0,ROUND(cost_role_stone*cost_coef_battle_ground*cost_growth^(A106-2)*IF(A106&lt;=4,stage_early,IF(A106&lt;=stage_mid_level,stage_mid,IF(A106&lt;=stage_late_level,stage_normal,stage_late))),0))</f>
        <v>13624</v>
      </c>
      <c r="F106" s="1" t="n">
        <f aca="false">IF(A106=1,0,ROUND(cost_role_bone*cost_coef_battle_ground*cost_growth^(A106-2)*IF(A106&lt;=4,stage_early,IF(A106&lt;=stage_mid_level,stage_mid,IF(A106&lt;=stage_late_level,stage_normal,stage_late))),0))</f>
        <v>6812</v>
      </c>
      <c r="G106" s="1" t="n">
        <f aca="false">IF(A106=1,0,ROUND(cost_role_hide*cost_coef_battle_ground*cost_growth^(A106-2)*IF(A106&lt;=4,stage_early,IF(A106&lt;=stage_mid_level,stage_mid,IF(A106&lt;=stage_late_level,stage_normal,stage_late))),0))</f>
        <v>11354</v>
      </c>
      <c r="H106" s="1" t="n">
        <f aca="false">IF(A106=1,0,ROUND(build_time_base_min*time_coef_battle_ground*time_growth^(A106-2)*IF(A106&lt;=4,stage_early,IF(A106&lt;=stage_mid_level,stage_mid,IF(A106&lt;=stage_late_level,stage_normal,stage_late)))/60,1))</f>
        <v>12</v>
      </c>
    </row>
    <row r="107" customFormat="false" ht="15" hidden="false" customHeight="false" outlineLevel="0" collapsed="false">
      <c r="A107" s="1" t="n">
        <v>20</v>
      </c>
      <c r="B107" s="1" t="n">
        <f aca="false">MAX(1,MIN(6,INT(A107/tier_step_building)))</f>
        <v>5</v>
      </c>
      <c r="C107" s="1" t="n">
        <f aca="false">ROUND(role_cap_base*role_cap_growth^(A107-1),0)</f>
        <v>192</v>
      </c>
      <c r="D107" s="1" t="n">
        <f aca="false">1+train_speed_per_level*(A107-1)</f>
        <v>1.76</v>
      </c>
      <c r="E107" s="1" t="n">
        <f aca="false">IF(A107=1,0,ROUND(cost_role_stone*cost_coef_battle_ground*cost_growth^(A107-2)*IF(A107&lt;=4,stage_early,IF(A107&lt;=stage_mid_level,stage_mid,IF(A107&lt;=stage_late_level,stage_normal,stage_late))),0))</f>
        <v>17712</v>
      </c>
      <c r="F107" s="1" t="n">
        <f aca="false">IF(A107=1,0,ROUND(cost_role_bone*cost_coef_battle_ground*cost_growth^(A107-2)*IF(A107&lt;=4,stage_early,IF(A107&lt;=stage_mid_level,stage_mid,IF(A107&lt;=stage_late_level,stage_normal,stage_late))),0))</f>
        <v>8856</v>
      </c>
      <c r="G107" s="1" t="n">
        <f aca="false">IF(A107=1,0,ROUND(cost_role_hide*cost_coef_battle_ground*cost_growth^(A107-2)*IF(A107&lt;=4,stage_early,IF(A107&lt;=stage_mid_level,stage_mid,IF(A107&lt;=stage_late_level,stage_normal,stage_late))),0))</f>
        <v>14760</v>
      </c>
      <c r="H107" s="1" t="n">
        <f aca="false">IF(A107=1,0,ROUND(build_time_base_min*time_coef_battle_ground*time_growth^(A107-2)*IF(A107&lt;=4,stage_early,IF(A107&lt;=stage_mid_level,stage_mid,IF(A107&lt;=stage_late_level,stage_normal,stage_late)))/60,1))</f>
        <v>15</v>
      </c>
    </row>
    <row r="108" customFormat="false" ht="15" hidden="false" customHeight="false" outlineLevel="0" collapsed="false">
      <c r="A108" s="1" t="n">
        <v>21</v>
      </c>
      <c r="B108" s="1" t="n">
        <f aca="false">MAX(1,MIN(6,INT(A108/tier_step_building)))</f>
        <v>5</v>
      </c>
      <c r="C108" s="1" t="n">
        <f aca="false">ROUND(role_cap_base*role_cap_growth^(A108-1),0)</f>
        <v>230</v>
      </c>
      <c r="D108" s="1" t="n">
        <f aca="false">1+train_speed_per_level*(A108-1)</f>
        <v>1.8</v>
      </c>
      <c r="E108" s="1" t="n">
        <f aca="false">IF(A108=1,0,ROUND(cost_role_stone*cost_coef_battle_ground*cost_growth^(A108-2)*IF(A108&lt;=4,stage_early,IF(A108&lt;=stage_mid_level,stage_mid,IF(A108&lt;=stage_late_level,stage_normal,stage_late))),0))</f>
        <v>23025</v>
      </c>
      <c r="F108" s="1" t="n">
        <f aca="false">IF(A108=1,0,ROUND(cost_role_bone*cost_coef_battle_ground*cost_growth^(A108-2)*IF(A108&lt;=4,stage_early,IF(A108&lt;=stage_mid_level,stage_mid,IF(A108&lt;=stage_late_level,stage_normal,stage_late))),0))</f>
        <v>11513</v>
      </c>
      <c r="G108" s="1" t="n">
        <f aca="false">IF(A108=1,0,ROUND(cost_role_hide*cost_coef_battle_ground*cost_growth^(A108-2)*IF(A108&lt;=4,stage_early,IF(A108&lt;=stage_mid_level,stage_mid,IF(A108&lt;=stage_late_level,stage_normal,stage_late))),0))</f>
        <v>19188</v>
      </c>
      <c r="H108" s="1" t="n">
        <f aca="false">IF(A108=1,0,ROUND(build_time_base_min*time_coef_battle_ground*time_growth^(A108-2)*IF(A108&lt;=4,stage_early,IF(A108&lt;=stage_mid_level,stage_mid,IF(A108&lt;=stage_late_level,stage_normal,stage_late)))/60,1))</f>
        <v>18.8</v>
      </c>
    </row>
    <row r="109" customFormat="false" ht="15" hidden="false" customHeight="false" outlineLevel="0" collapsed="false">
      <c r="A109" s="1" t="n">
        <v>22</v>
      </c>
      <c r="B109" s="1" t="n">
        <f aca="false">MAX(1,MIN(6,INT(A109/tier_step_building)))</f>
        <v>5</v>
      </c>
      <c r="C109" s="1" t="n">
        <f aca="false">ROUND(role_cap_base*role_cap_growth^(A109-1),0)</f>
        <v>276</v>
      </c>
      <c r="D109" s="1" t="n">
        <f aca="false">1+train_speed_per_level*(A109-1)</f>
        <v>1.84</v>
      </c>
      <c r="E109" s="1" t="n">
        <f aca="false">IF(A109=1,0,ROUND(cost_role_stone*cost_coef_battle_ground*cost_growth^(A109-2)*IF(A109&lt;=4,stage_early,IF(A109&lt;=stage_mid_level,stage_mid,IF(A109&lt;=stage_late_level,stage_normal,stage_late))),0))</f>
        <v>29933</v>
      </c>
      <c r="F109" s="1" t="n">
        <f aca="false">IF(A109=1,0,ROUND(cost_role_bone*cost_coef_battle_ground*cost_growth^(A109-2)*IF(A109&lt;=4,stage_early,IF(A109&lt;=stage_mid_level,stage_mid,IF(A109&lt;=stage_late_level,stage_normal,stage_late))),0))</f>
        <v>14966</v>
      </c>
      <c r="G109" s="1" t="n">
        <f aca="false">IF(A109=1,0,ROUND(cost_role_hide*cost_coef_battle_ground*cost_growth^(A109-2)*IF(A109&lt;=4,stage_early,IF(A109&lt;=stage_mid_level,stage_mid,IF(A109&lt;=stage_late_level,stage_normal,stage_late))),0))</f>
        <v>24944</v>
      </c>
      <c r="H109" s="1" t="n">
        <f aca="false">IF(A109=1,0,ROUND(build_time_base_min*time_coef_battle_ground*time_growth^(A109-2)*IF(A109&lt;=4,stage_early,IF(A109&lt;=stage_mid_level,stage_mid,IF(A109&lt;=stage_late_level,stage_normal,stage_late)))/60,1))</f>
        <v>23.5</v>
      </c>
    </row>
    <row r="110" customFormat="false" ht="15" hidden="false" customHeight="false" outlineLevel="0" collapsed="false">
      <c r="A110" s="1" t="n">
        <v>23</v>
      </c>
      <c r="B110" s="1" t="n">
        <f aca="false">MAX(1,MIN(6,INT(A110/tier_step_building)))</f>
        <v>5</v>
      </c>
      <c r="C110" s="1" t="n">
        <f aca="false">ROUND(role_cap_base*role_cap_growth^(A110-1),0)</f>
        <v>331</v>
      </c>
      <c r="D110" s="1" t="n">
        <f aca="false">1+train_speed_per_level*(A110-1)</f>
        <v>1.88</v>
      </c>
      <c r="E110" s="1" t="n">
        <f aca="false">IF(A110=1,0,ROUND(cost_role_stone*cost_coef_battle_ground*cost_growth^(A110-2)*IF(A110&lt;=4,stage_early,IF(A110&lt;=stage_mid_level,stage_mid,IF(A110&lt;=stage_late_level,stage_normal,stage_late))),0))</f>
        <v>38913</v>
      </c>
      <c r="F110" s="1" t="n">
        <f aca="false">IF(A110=1,0,ROUND(cost_role_bone*cost_coef_battle_ground*cost_growth^(A110-2)*IF(A110&lt;=4,stage_early,IF(A110&lt;=stage_mid_level,stage_mid,IF(A110&lt;=stage_late_level,stage_normal,stage_late))),0))</f>
        <v>19456</v>
      </c>
      <c r="G110" s="1" t="n">
        <f aca="false">IF(A110=1,0,ROUND(cost_role_hide*cost_coef_battle_ground*cost_growth^(A110-2)*IF(A110&lt;=4,stage_early,IF(A110&lt;=stage_mid_level,stage_mid,IF(A110&lt;=stage_late_level,stage_normal,stage_late))),0))</f>
        <v>32427</v>
      </c>
      <c r="H110" s="1" t="n">
        <f aca="false">IF(A110=1,0,ROUND(build_time_base_min*time_coef_battle_ground*time_growth^(A110-2)*IF(A110&lt;=4,stage_early,IF(A110&lt;=stage_mid_level,stage_mid,IF(A110&lt;=stage_late_level,stage_normal,stage_late)))/60,1))</f>
        <v>29.4</v>
      </c>
    </row>
    <row r="111" customFormat="false" ht="15" hidden="false" customHeight="false" outlineLevel="0" collapsed="false">
      <c r="A111" s="1" t="n">
        <v>24</v>
      </c>
      <c r="B111" s="1" t="n">
        <f aca="false">MAX(1,MIN(6,INT(A111/tier_step_building)))</f>
        <v>6</v>
      </c>
      <c r="C111" s="1" t="n">
        <f aca="false">ROUND(role_cap_base*role_cap_growth^(A111-1),0)</f>
        <v>397</v>
      </c>
      <c r="D111" s="1" t="n">
        <f aca="false">1+train_speed_per_level*(A111-1)</f>
        <v>1.92</v>
      </c>
      <c r="E111" s="1" t="n">
        <f aca="false">IF(A111=1,0,ROUND(cost_role_stone*cost_coef_battle_ground*cost_growth^(A111-2)*IF(A111&lt;=4,stage_early,IF(A111&lt;=stage_mid_level,stage_mid,IF(A111&lt;=stage_late_level,stage_normal,stage_late))),0))</f>
        <v>50586</v>
      </c>
      <c r="F111" s="1" t="n">
        <f aca="false">IF(A111=1,0,ROUND(cost_role_bone*cost_coef_battle_ground*cost_growth^(A111-2)*IF(A111&lt;=4,stage_early,IF(A111&lt;=stage_mid_level,stage_mid,IF(A111&lt;=stage_late_level,stage_normal,stage_late))),0))</f>
        <v>25293</v>
      </c>
      <c r="G111" s="1" t="n">
        <f aca="false">IF(A111=1,0,ROUND(cost_role_hide*cost_coef_battle_ground*cost_growth^(A111-2)*IF(A111&lt;=4,stage_early,IF(A111&lt;=stage_mid_level,stage_mid,IF(A111&lt;=stage_late_level,stage_normal,stage_late))),0))</f>
        <v>42155</v>
      </c>
      <c r="H111" s="1" t="n">
        <f aca="false">IF(A111=1,0,ROUND(build_time_base_min*time_coef_battle_ground*time_growth^(A111-2)*IF(A111&lt;=4,stage_early,IF(A111&lt;=stage_mid_level,stage_mid,IF(A111&lt;=stage_late_level,stage_normal,stage_late)))/60,1))</f>
        <v>36.7</v>
      </c>
    </row>
    <row r="112" customFormat="false" ht="15" hidden="false" customHeight="false" outlineLevel="0" collapsed="false">
      <c r="A112" s="1" t="n">
        <v>25</v>
      </c>
      <c r="B112" s="1" t="n">
        <f aca="false">MAX(1,MIN(6,INT(A112/tier_step_building)))</f>
        <v>6</v>
      </c>
      <c r="C112" s="1" t="n">
        <f aca="false">ROUND(role_cap_base*role_cap_growth^(A112-1),0)</f>
        <v>477</v>
      </c>
      <c r="D112" s="1" t="n">
        <f aca="false">1+train_speed_per_level*(A112-1)</f>
        <v>1.96</v>
      </c>
      <c r="E112" s="1" t="n">
        <f aca="false">IF(A112=1,0,ROUND(cost_role_stone*cost_coef_battle_ground*cost_growth^(A112-2)*IF(A112&lt;=4,stage_early,IF(A112&lt;=stage_mid_level,stage_mid,IF(A112&lt;=stage_late_level,stage_normal,stage_late))),0))</f>
        <v>65762</v>
      </c>
      <c r="F112" s="1" t="n">
        <f aca="false">IF(A112=1,0,ROUND(cost_role_bone*cost_coef_battle_ground*cost_growth^(A112-2)*IF(A112&lt;=4,stage_early,IF(A112&lt;=stage_mid_level,stage_mid,IF(A112&lt;=stage_late_level,stage_normal,stage_late))),0))</f>
        <v>32881</v>
      </c>
      <c r="G112" s="1" t="n">
        <f aca="false">IF(A112=1,0,ROUND(cost_role_hide*cost_coef_battle_ground*cost_growth^(A112-2)*IF(A112&lt;=4,stage_early,IF(A112&lt;=stage_mid_level,stage_mid,IF(A112&lt;=stage_late_level,stage_normal,stage_late))),0))</f>
        <v>54802</v>
      </c>
      <c r="H112" s="1" t="n">
        <f aca="false">IF(A112=1,0,ROUND(build_time_base_min*time_coef_battle_ground*time_growth^(A112-2)*IF(A112&lt;=4,stage_early,IF(A112&lt;=stage_mid_level,stage_mid,IF(A112&lt;=stage_late_level,stage_normal,stage_late)))/60,1))</f>
        <v>45.9</v>
      </c>
    </row>
    <row r="113" customFormat="false" ht="15" hidden="false" customHeight="false" outlineLevel="0" collapsed="false">
      <c r="A113" s="1" t="s">
        <v>153</v>
      </c>
    </row>
    <row r="114" customFormat="false" ht="15" hidden="false" customHeight="false" outlineLevel="0" collapsed="false">
      <c r="A114" s="2" t="s">
        <v>2</v>
      </c>
      <c r="B114" s="2" t="s">
        <v>148</v>
      </c>
      <c r="C114" s="2" t="s">
        <v>149</v>
      </c>
      <c r="D114" s="2" t="s">
        <v>150</v>
      </c>
      <c r="E114" s="2" t="s">
        <v>138</v>
      </c>
      <c r="F114" s="2" t="s">
        <v>146</v>
      </c>
      <c r="G114" s="2" t="s">
        <v>151</v>
      </c>
      <c r="H114" s="2" t="s">
        <v>140</v>
      </c>
    </row>
    <row r="115" customFormat="false" ht="15" hidden="false" customHeight="false" outlineLevel="0" collapsed="false">
      <c r="A115" s="1" t="n">
        <v>1</v>
      </c>
      <c r="B115" s="1" t="n">
        <f aca="false">MAX(1,MIN(6,INT(A115/tier_step_building)))</f>
        <v>1</v>
      </c>
      <c r="C115" s="1" t="n">
        <f aca="false">ROUND(role_cap_base*role_cap_growth^(A115-1),0)</f>
        <v>6</v>
      </c>
      <c r="D115" s="1" t="n">
        <f aca="false">1+train_speed_per_level*(A115-1)</f>
        <v>1</v>
      </c>
      <c r="E115" s="1" t="n">
        <f aca="false">IF(A115=1,0,ROUND(cost_role_stone*cost_coef_defense_wall*cost_growth^(A115-2)*IF(A115&lt;=4,stage_early,IF(A115&lt;=stage_mid_level,stage_mid,IF(A115&lt;=stage_late_level,stage_normal,stage_late))),0))</f>
        <v>0</v>
      </c>
      <c r="F115" s="1" t="n">
        <f aca="false">IF(A115=1,0,ROUND(cost_role_bone*cost_coef_defense_wall*cost_growth^(A115-2)*IF(A115&lt;=4,stage_early,IF(A115&lt;=stage_mid_level,stage_mid,IF(A115&lt;=stage_late_level,stage_normal,stage_late))),0))</f>
        <v>0</v>
      </c>
      <c r="G115" s="1" t="n">
        <f aca="false">IF(A115=1,0,ROUND(cost_role_hide*cost_coef_defense_wall*cost_growth^(A115-2)*IF(A115&lt;=4,stage_early,IF(A115&lt;=stage_mid_level,stage_mid,IF(A115&lt;=stage_late_level,stage_normal,stage_late))),0))</f>
        <v>0</v>
      </c>
      <c r="H115" s="1" t="n">
        <f aca="false">IF(A115=1,0,ROUND(build_time_base_min*time_coef_defense_wall*time_growth^(A115-2)*IF(A115&lt;=4,stage_early,IF(A115&lt;=stage_mid_level,stage_mid,IF(A115&lt;=stage_late_level,stage_normal,stage_late)))/60,1))</f>
        <v>0</v>
      </c>
    </row>
    <row r="116" customFormat="false" ht="15" hidden="false" customHeight="false" outlineLevel="0" collapsed="false">
      <c r="A116" s="1" t="n">
        <v>2</v>
      </c>
      <c r="B116" s="1" t="n">
        <f aca="false">MAX(1,MIN(6,INT(A116/tier_step_building)))</f>
        <v>1</v>
      </c>
      <c r="C116" s="1" t="n">
        <f aca="false">ROUND(role_cap_base*role_cap_growth^(A116-1),0)</f>
        <v>7</v>
      </c>
      <c r="D116" s="1" t="n">
        <f aca="false">1+train_speed_per_level*(A116-1)</f>
        <v>1.04</v>
      </c>
      <c r="E116" s="1" t="n">
        <f aca="false">IF(A116=1,0,ROUND(cost_role_stone*cost_coef_defense_wall*cost_growth^(A116-2)*IF(A116&lt;=4,stage_early,IF(A116&lt;=stage_mid_level,stage_mid,IF(A116&lt;=stage_late_level,stage_normal,stage_late))),0))</f>
        <v>43</v>
      </c>
      <c r="F116" s="1" t="n">
        <f aca="false">IF(A116=1,0,ROUND(cost_role_bone*cost_coef_defense_wall*cost_growth^(A116-2)*IF(A116&lt;=4,stage_early,IF(A116&lt;=stage_mid_level,stage_mid,IF(A116&lt;=stage_late_level,stage_normal,stage_late))),0))</f>
        <v>22</v>
      </c>
      <c r="G116" s="1" t="n">
        <f aca="false">IF(A116=1,0,ROUND(cost_role_hide*cost_coef_defense_wall*cost_growth^(A116-2)*IF(A116&lt;=4,stage_early,IF(A116&lt;=stage_mid_level,stage_mid,IF(A116&lt;=stage_late_level,stage_normal,stage_late))),0))</f>
        <v>36</v>
      </c>
      <c r="H116" s="1" t="n">
        <f aca="false">IF(A116=1,0,ROUND(build_time_base_min*time_coef_defense_wall*time_growth^(A116-2)*IF(A116&lt;=4,stage_early,IF(A116&lt;=stage_mid_level,stage_mid,IF(A116&lt;=stage_late_level,stage_normal,stage_late)))/60,1))</f>
        <v>0.1</v>
      </c>
    </row>
    <row r="117" customFormat="false" ht="15" hidden="false" customHeight="false" outlineLevel="0" collapsed="false">
      <c r="A117" s="1" t="n">
        <v>3</v>
      </c>
      <c r="B117" s="1" t="n">
        <f aca="false">MAX(1,MIN(6,INT(A117/tier_step_building)))</f>
        <v>1</v>
      </c>
      <c r="C117" s="1" t="n">
        <f aca="false">ROUND(role_cap_base*role_cap_growth^(A117-1),0)</f>
        <v>9</v>
      </c>
      <c r="D117" s="1" t="n">
        <f aca="false">1+train_speed_per_level*(A117-1)</f>
        <v>1.08</v>
      </c>
      <c r="E117" s="1" t="n">
        <f aca="false">IF(A117=1,0,ROUND(cost_role_stone*cost_coef_defense_wall*cost_growth^(A117-2)*IF(A117&lt;=4,stage_early,IF(A117&lt;=stage_mid_level,stage_mid,IF(A117&lt;=stage_late_level,stage_normal,stage_late))),0))</f>
        <v>56</v>
      </c>
      <c r="F117" s="1" t="n">
        <f aca="false">IF(A117=1,0,ROUND(cost_role_bone*cost_coef_defense_wall*cost_growth^(A117-2)*IF(A117&lt;=4,stage_early,IF(A117&lt;=stage_mid_level,stage_mid,IF(A117&lt;=stage_late_level,stage_normal,stage_late))),0))</f>
        <v>28</v>
      </c>
      <c r="G117" s="1" t="n">
        <f aca="false">IF(A117=1,0,ROUND(cost_role_hide*cost_coef_defense_wall*cost_growth^(A117-2)*IF(A117&lt;=4,stage_early,IF(A117&lt;=stage_mid_level,stage_mid,IF(A117&lt;=stage_late_level,stage_normal,stage_late))),0))</f>
        <v>47</v>
      </c>
      <c r="H117" s="1" t="n">
        <f aca="false">IF(A117=1,0,ROUND(build_time_base_min*time_coef_defense_wall*time_growth^(A117-2)*IF(A117&lt;=4,stage_early,IF(A117&lt;=stage_mid_level,stage_mid,IF(A117&lt;=stage_late_level,stage_normal,stage_late)))/60,1))</f>
        <v>0.1</v>
      </c>
    </row>
    <row r="118" customFormat="false" ht="15" hidden="false" customHeight="false" outlineLevel="0" collapsed="false">
      <c r="A118" s="1" t="n">
        <v>4</v>
      </c>
      <c r="B118" s="1" t="n">
        <f aca="false">MAX(1,MIN(6,INT(A118/tier_step_building)))</f>
        <v>1</v>
      </c>
      <c r="C118" s="1" t="n">
        <f aca="false">ROUND(role_cap_base*role_cap_growth^(A118-1),0)</f>
        <v>10</v>
      </c>
      <c r="D118" s="1" t="n">
        <f aca="false">1+train_speed_per_level*(A118-1)</f>
        <v>1.12</v>
      </c>
      <c r="E118" s="1" t="n">
        <f aca="false">IF(A118=1,0,ROUND(cost_role_stone*cost_coef_defense_wall*cost_growth^(A118-2)*IF(A118&lt;=4,stage_early,IF(A118&lt;=stage_mid_level,stage_mid,IF(A118&lt;=stage_late_level,stage_normal,stage_late))),0))</f>
        <v>73</v>
      </c>
      <c r="F118" s="1" t="n">
        <f aca="false">IF(A118=1,0,ROUND(cost_role_bone*cost_coef_defense_wall*cost_growth^(A118-2)*IF(A118&lt;=4,stage_early,IF(A118&lt;=stage_mid_level,stage_mid,IF(A118&lt;=stage_late_level,stage_normal,stage_late))),0))</f>
        <v>37</v>
      </c>
      <c r="G118" s="1" t="n">
        <f aca="false">IF(A118=1,0,ROUND(cost_role_hide*cost_coef_defense_wall*cost_growth^(A118-2)*IF(A118&lt;=4,stage_early,IF(A118&lt;=stage_mid_level,stage_mid,IF(A118&lt;=stage_late_level,stage_normal,stage_late))),0))</f>
        <v>61</v>
      </c>
      <c r="H118" s="1" t="n">
        <f aca="false">IF(A118=1,0,ROUND(build_time_base_min*time_coef_defense_wall*time_growth^(A118-2)*IF(A118&lt;=4,stage_early,IF(A118&lt;=stage_mid_level,stage_mid,IF(A118&lt;=stage_late_level,stage_normal,stage_late)))/60,1))</f>
        <v>0.1</v>
      </c>
    </row>
    <row r="119" customFormat="false" ht="15" hidden="false" customHeight="false" outlineLevel="0" collapsed="false">
      <c r="A119" s="1" t="n">
        <v>5</v>
      </c>
      <c r="B119" s="1" t="n">
        <f aca="false">MAX(1,MIN(6,INT(A119/tier_step_building)))</f>
        <v>1</v>
      </c>
      <c r="C119" s="1" t="n">
        <f aca="false">ROUND(role_cap_base*role_cap_growth^(A119-1),0)</f>
        <v>12</v>
      </c>
      <c r="D119" s="1" t="n">
        <f aca="false">1+train_speed_per_level*(A119-1)</f>
        <v>1.16</v>
      </c>
      <c r="E119" s="1" t="n">
        <f aca="false">IF(A119=1,0,ROUND(cost_role_stone*cost_coef_defense_wall*cost_growth^(A119-2)*IF(A119&lt;=4,stage_early,IF(A119&lt;=stage_mid_level,stage_mid,IF(A119&lt;=stage_late_level,stage_normal,stage_late))),0))</f>
        <v>166</v>
      </c>
      <c r="F119" s="1" t="n">
        <f aca="false">IF(A119=1,0,ROUND(cost_role_bone*cost_coef_defense_wall*cost_growth^(A119-2)*IF(A119&lt;=4,stage_early,IF(A119&lt;=stage_mid_level,stage_mid,IF(A119&lt;=stage_late_level,stage_normal,stage_late))),0))</f>
        <v>83</v>
      </c>
      <c r="G119" s="1" t="n">
        <f aca="false">IF(A119=1,0,ROUND(cost_role_hide*cost_coef_defense_wall*cost_growth^(A119-2)*IF(A119&lt;=4,stage_early,IF(A119&lt;=stage_mid_level,stage_mid,IF(A119&lt;=stage_late_level,stage_normal,stage_late))),0))</f>
        <v>138</v>
      </c>
      <c r="H119" s="1" t="n">
        <f aca="false">IF(A119=1,0,ROUND(build_time_base_min*time_coef_defense_wall*time_growth^(A119-2)*IF(A119&lt;=4,stage_early,IF(A119&lt;=stage_mid_level,stage_mid,IF(A119&lt;=stage_late_level,stage_normal,stage_late)))/60,1))</f>
        <v>0.3</v>
      </c>
    </row>
    <row r="120" customFormat="false" ht="15" hidden="false" customHeight="false" outlineLevel="0" collapsed="false">
      <c r="A120" s="1" t="n">
        <v>6</v>
      </c>
      <c r="B120" s="1" t="n">
        <f aca="false">MAX(1,MIN(6,INT(A120/tier_step_building)))</f>
        <v>1</v>
      </c>
      <c r="C120" s="1" t="n">
        <f aca="false">ROUND(role_cap_base*role_cap_growth^(A120-1),0)</f>
        <v>15</v>
      </c>
      <c r="D120" s="1" t="n">
        <f aca="false">1+train_speed_per_level*(A120-1)</f>
        <v>1.2</v>
      </c>
      <c r="E120" s="1" t="n">
        <f aca="false">IF(A120=1,0,ROUND(cost_role_stone*cost_coef_defense_wall*cost_growth^(A120-2)*IF(A120&lt;=4,stage_early,IF(A120&lt;=stage_mid_level,stage_mid,IF(A120&lt;=stage_late_level,stage_normal,stage_late))),0))</f>
        <v>216</v>
      </c>
      <c r="F120" s="1" t="n">
        <f aca="false">IF(A120=1,0,ROUND(cost_role_bone*cost_coef_defense_wall*cost_growth^(A120-2)*IF(A120&lt;=4,stage_early,IF(A120&lt;=stage_mid_level,stage_mid,IF(A120&lt;=stage_late_level,stage_normal,stage_late))),0))</f>
        <v>108</v>
      </c>
      <c r="G120" s="1" t="n">
        <f aca="false">IF(A120=1,0,ROUND(cost_role_hide*cost_coef_defense_wall*cost_growth^(A120-2)*IF(A120&lt;=4,stage_early,IF(A120&lt;=stage_mid_level,stage_mid,IF(A120&lt;=stage_late_level,stage_normal,stage_late))),0))</f>
        <v>180</v>
      </c>
      <c r="H120" s="1" t="n">
        <f aca="false">IF(A120=1,0,ROUND(build_time_base_min*time_coef_defense_wall*time_growth^(A120-2)*IF(A120&lt;=4,stage_early,IF(A120&lt;=stage_mid_level,stage_mid,IF(A120&lt;=stage_late_level,stage_normal,stage_late)))/60,1))</f>
        <v>0.3</v>
      </c>
    </row>
    <row r="121" customFormat="false" ht="15" hidden="false" customHeight="false" outlineLevel="0" collapsed="false">
      <c r="A121" s="1" t="n">
        <v>7</v>
      </c>
      <c r="B121" s="1" t="n">
        <f aca="false">MAX(1,MIN(6,INT(A121/tier_step_building)))</f>
        <v>1</v>
      </c>
      <c r="C121" s="1" t="n">
        <f aca="false">ROUND(role_cap_base*role_cap_growth^(A121-1),0)</f>
        <v>18</v>
      </c>
      <c r="D121" s="1" t="n">
        <f aca="false">1+train_speed_per_level*(A121-1)</f>
        <v>1.24</v>
      </c>
      <c r="E121" s="1" t="n">
        <f aca="false">IF(A121=1,0,ROUND(cost_role_stone*cost_coef_defense_wall*cost_growth^(A121-2)*IF(A121&lt;=4,stage_early,IF(A121&lt;=stage_mid_level,stage_mid,IF(A121&lt;=stage_late_level,stage_normal,stage_late))),0))</f>
        <v>281</v>
      </c>
      <c r="F121" s="1" t="n">
        <f aca="false">IF(A121=1,0,ROUND(cost_role_bone*cost_coef_defense_wall*cost_growth^(A121-2)*IF(A121&lt;=4,stage_early,IF(A121&lt;=stage_mid_level,stage_mid,IF(A121&lt;=stage_late_level,stage_normal,stage_late))),0))</f>
        <v>140</v>
      </c>
      <c r="G121" s="1" t="n">
        <f aca="false">IF(A121=1,0,ROUND(cost_role_hide*cost_coef_defense_wall*cost_growth^(A121-2)*IF(A121&lt;=4,stage_early,IF(A121&lt;=stage_mid_level,stage_mid,IF(A121&lt;=stage_late_level,stage_normal,stage_late))),0))</f>
        <v>234</v>
      </c>
      <c r="H121" s="1" t="n">
        <f aca="false">IF(A121=1,0,ROUND(build_time_base_min*time_coef_defense_wall*time_growth^(A121-2)*IF(A121&lt;=4,stage_early,IF(A121&lt;=stage_mid_level,stage_mid,IF(A121&lt;=stage_late_level,stage_normal,stage_late)))/60,1))</f>
        <v>0.4</v>
      </c>
    </row>
    <row r="122" customFormat="false" ht="15" hidden="false" customHeight="false" outlineLevel="0" collapsed="false">
      <c r="A122" s="1" t="n">
        <v>8</v>
      </c>
      <c r="B122" s="1" t="n">
        <f aca="false">MAX(1,MIN(6,INT(A122/tier_step_building)))</f>
        <v>2</v>
      </c>
      <c r="C122" s="1" t="n">
        <f aca="false">ROUND(role_cap_base*role_cap_growth^(A122-1),0)</f>
        <v>21</v>
      </c>
      <c r="D122" s="1" t="n">
        <f aca="false">1+train_speed_per_level*(A122-1)</f>
        <v>1.28</v>
      </c>
      <c r="E122" s="1" t="n">
        <f aca="false">IF(A122=1,0,ROUND(cost_role_stone*cost_coef_defense_wall*cost_growth^(A122-2)*IF(A122&lt;=4,stage_early,IF(A122&lt;=stage_mid_level,stage_mid,IF(A122&lt;=stage_late_level,stage_normal,stage_late))),0))</f>
        <v>365</v>
      </c>
      <c r="F122" s="1" t="n">
        <f aca="false">IF(A122=1,0,ROUND(cost_role_bone*cost_coef_defense_wall*cost_growth^(A122-2)*IF(A122&lt;=4,stage_early,IF(A122&lt;=stage_mid_level,stage_mid,IF(A122&lt;=stage_late_level,stage_normal,stage_late))),0))</f>
        <v>182</v>
      </c>
      <c r="G122" s="1" t="n">
        <f aca="false">IF(A122=1,0,ROUND(cost_role_hide*cost_coef_defense_wall*cost_growth^(A122-2)*IF(A122&lt;=4,stage_early,IF(A122&lt;=stage_mid_level,stage_mid,IF(A122&lt;=stage_late_level,stage_normal,stage_late))),0))</f>
        <v>304</v>
      </c>
      <c r="H122" s="1" t="n">
        <f aca="false">IF(A122=1,0,ROUND(build_time_base_min*time_coef_defense_wall*time_growth^(A122-2)*IF(A122&lt;=4,stage_early,IF(A122&lt;=stage_mid_level,stage_mid,IF(A122&lt;=stage_late_level,stage_normal,stage_late)))/60,1))</f>
        <v>0.5</v>
      </c>
    </row>
    <row r="123" customFormat="false" ht="15" hidden="false" customHeight="false" outlineLevel="0" collapsed="false">
      <c r="A123" s="1" t="n">
        <v>9</v>
      </c>
      <c r="B123" s="1" t="n">
        <f aca="false">MAX(1,MIN(6,INT(A123/tier_step_building)))</f>
        <v>2</v>
      </c>
      <c r="C123" s="1" t="n">
        <f aca="false">ROUND(role_cap_base*role_cap_growth^(A123-1),0)</f>
        <v>26</v>
      </c>
      <c r="D123" s="1" t="n">
        <f aca="false">1+train_speed_per_level*(A123-1)</f>
        <v>1.32</v>
      </c>
      <c r="E123" s="1" t="n">
        <f aca="false">IF(A123=1,0,ROUND(cost_role_stone*cost_coef_defense_wall*cost_growth^(A123-2)*IF(A123&lt;=4,stage_early,IF(A123&lt;=stage_mid_level,stage_mid,IF(A123&lt;=stage_late_level,stage_normal,stage_late))),0))</f>
        <v>474</v>
      </c>
      <c r="F123" s="1" t="n">
        <f aca="false">IF(A123=1,0,ROUND(cost_role_bone*cost_coef_defense_wall*cost_growth^(A123-2)*IF(A123&lt;=4,stage_early,IF(A123&lt;=stage_mid_level,stage_mid,IF(A123&lt;=stage_late_level,stage_normal,stage_late))),0))</f>
        <v>237</v>
      </c>
      <c r="G123" s="1" t="n">
        <f aca="false">IF(A123=1,0,ROUND(cost_role_hide*cost_coef_defense_wall*cost_growth^(A123-2)*IF(A123&lt;=4,stage_early,IF(A123&lt;=stage_mid_level,stage_mid,IF(A123&lt;=stage_late_level,stage_normal,stage_late))),0))</f>
        <v>395</v>
      </c>
      <c r="H123" s="1" t="n">
        <f aca="false">IF(A123=1,0,ROUND(build_time_base_min*time_coef_defense_wall*time_growth^(A123-2)*IF(A123&lt;=4,stage_early,IF(A123&lt;=stage_mid_level,stage_mid,IF(A123&lt;=stage_late_level,stage_normal,stage_late)))/60,1))</f>
        <v>0.6</v>
      </c>
    </row>
    <row r="124" customFormat="false" ht="15" hidden="false" customHeight="false" outlineLevel="0" collapsed="false">
      <c r="A124" s="1" t="n">
        <v>10</v>
      </c>
      <c r="B124" s="1" t="n">
        <f aca="false">MAX(1,MIN(6,INT(A124/tier_step_building)))</f>
        <v>2</v>
      </c>
      <c r="C124" s="1" t="n">
        <f aca="false">ROUND(role_cap_base*role_cap_growth^(A124-1),0)</f>
        <v>31</v>
      </c>
      <c r="D124" s="1" t="n">
        <f aca="false">1+train_speed_per_level*(A124-1)</f>
        <v>1.36</v>
      </c>
      <c r="E124" s="1" t="n">
        <f aca="false">IF(A124=1,0,ROUND(cost_role_stone*cost_coef_defense_wall*cost_growth^(A124-2)*IF(A124&lt;=4,stage_early,IF(A124&lt;=stage_mid_level,stage_mid,IF(A124&lt;=stage_late_level,stage_normal,stage_late))),0))</f>
        <v>617</v>
      </c>
      <c r="F124" s="1" t="n">
        <f aca="false">IF(A124=1,0,ROUND(cost_role_bone*cost_coef_defense_wall*cost_growth^(A124-2)*IF(A124&lt;=4,stage_early,IF(A124&lt;=stage_mid_level,stage_mid,IF(A124&lt;=stage_late_level,stage_normal,stage_late))),0))</f>
        <v>308</v>
      </c>
      <c r="G124" s="1" t="n">
        <f aca="false">IF(A124=1,0,ROUND(cost_role_hide*cost_coef_defense_wall*cost_growth^(A124-2)*IF(A124&lt;=4,stage_early,IF(A124&lt;=stage_mid_level,stage_mid,IF(A124&lt;=stage_late_level,stage_normal,stage_late))),0))</f>
        <v>514</v>
      </c>
      <c r="H124" s="1" t="n">
        <f aca="false">IF(A124=1,0,ROUND(build_time_base_min*time_coef_defense_wall*time_growth^(A124-2)*IF(A124&lt;=4,stage_early,IF(A124&lt;=stage_mid_level,stage_mid,IF(A124&lt;=stage_late_level,stage_normal,stage_late)))/60,1))</f>
        <v>0.8</v>
      </c>
    </row>
    <row r="125" customFormat="false" ht="15" hidden="false" customHeight="false" outlineLevel="0" collapsed="false">
      <c r="A125" s="1" t="n">
        <v>11</v>
      </c>
      <c r="B125" s="1" t="n">
        <f aca="false">MAX(1,MIN(6,INT(A125/tier_step_building)))</f>
        <v>2</v>
      </c>
      <c r="C125" s="1" t="n">
        <f aca="false">ROUND(role_cap_base*role_cap_growth^(A125-1),0)</f>
        <v>37</v>
      </c>
      <c r="D125" s="1" t="n">
        <f aca="false">1+train_speed_per_level*(A125-1)</f>
        <v>1.4</v>
      </c>
      <c r="E125" s="1" t="n">
        <f aca="false">IF(A125=1,0,ROUND(cost_role_stone*cost_coef_defense_wall*cost_growth^(A125-2)*IF(A125&lt;=4,stage_early,IF(A125&lt;=stage_mid_level,stage_mid,IF(A125&lt;=stage_late_level,stage_normal,stage_late))),0))</f>
        <v>1145</v>
      </c>
      <c r="F125" s="1" t="n">
        <f aca="false">IF(A125=1,0,ROUND(cost_role_bone*cost_coef_defense_wall*cost_growth^(A125-2)*IF(A125&lt;=4,stage_early,IF(A125&lt;=stage_mid_level,stage_mid,IF(A125&lt;=stage_late_level,stage_normal,stage_late))),0))</f>
        <v>573</v>
      </c>
      <c r="G125" s="1" t="n">
        <f aca="false">IF(A125=1,0,ROUND(cost_role_hide*cost_coef_defense_wall*cost_growth^(A125-2)*IF(A125&lt;=4,stage_early,IF(A125&lt;=stage_mid_level,stage_mid,IF(A125&lt;=stage_late_level,stage_normal,stage_late))),0))</f>
        <v>954</v>
      </c>
      <c r="H125" s="1" t="n">
        <f aca="false">IF(A125=1,0,ROUND(build_time_base_min*time_coef_defense_wall*time_growth^(A125-2)*IF(A125&lt;=4,stage_early,IF(A125&lt;=stage_mid_level,stage_mid,IF(A125&lt;=stage_late_level,stage_normal,stage_late)))/60,1))</f>
        <v>1.4</v>
      </c>
    </row>
    <row r="126" customFormat="false" ht="15" hidden="false" customHeight="false" outlineLevel="0" collapsed="false">
      <c r="A126" s="1" t="n">
        <v>12</v>
      </c>
      <c r="B126" s="1" t="n">
        <f aca="false">MAX(1,MIN(6,INT(A126/tier_step_building)))</f>
        <v>3</v>
      </c>
      <c r="C126" s="1" t="n">
        <f aca="false">ROUND(role_cap_base*role_cap_growth^(A126-1),0)</f>
        <v>45</v>
      </c>
      <c r="D126" s="1" t="n">
        <f aca="false">1+train_speed_per_level*(A126-1)</f>
        <v>1.44</v>
      </c>
      <c r="E126" s="1" t="n">
        <f aca="false">IF(A126=1,0,ROUND(cost_role_stone*cost_coef_defense_wall*cost_growth^(A126-2)*IF(A126&lt;=4,stage_early,IF(A126&lt;=stage_mid_level,stage_mid,IF(A126&lt;=stage_late_level,stage_normal,stage_late))),0))</f>
        <v>1489</v>
      </c>
      <c r="F126" s="1" t="n">
        <f aca="false">IF(A126=1,0,ROUND(cost_role_bone*cost_coef_defense_wall*cost_growth^(A126-2)*IF(A126&lt;=4,stage_early,IF(A126&lt;=stage_mid_level,stage_mid,IF(A126&lt;=stage_late_level,stage_normal,stage_late))),0))</f>
        <v>744</v>
      </c>
      <c r="G126" s="1" t="n">
        <f aca="false">IF(A126=1,0,ROUND(cost_role_hide*cost_coef_defense_wall*cost_growth^(A126-2)*IF(A126&lt;=4,stage_early,IF(A126&lt;=stage_mid_level,stage_mid,IF(A126&lt;=stage_late_level,stage_normal,stage_late))),0))</f>
        <v>1241</v>
      </c>
      <c r="H126" s="1" t="n">
        <f aca="false">IF(A126=1,0,ROUND(build_time_base_min*time_coef_defense_wall*time_growth^(A126-2)*IF(A126&lt;=4,stage_early,IF(A126&lt;=stage_mid_level,stage_mid,IF(A126&lt;=stage_late_level,stage_normal,stage_late)))/60,1))</f>
        <v>1.7</v>
      </c>
    </row>
    <row r="127" customFormat="false" ht="15" hidden="false" customHeight="false" outlineLevel="0" collapsed="false">
      <c r="A127" s="1" t="n">
        <v>13</v>
      </c>
      <c r="B127" s="1" t="n">
        <f aca="false">MAX(1,MIN(6,INT(A127/tier_step_building)))</f>
        <v>3</v>
      </c>
      <c r="C127" s="1" t="n">
        <f aca="false">ROUND(role_cap_base*role_cap_growth^(A127-1),0)</f>
        <v>53</v>
      </c>
      <c r="D127" s="1" t="n">
        <f aca="false">1+train_speed_per_level*(A127-1)</f>
        <v>1.48</v>
      </c>
      <c r="E127" s="1" t="n">
        <f aca="false">IF(A127=1,0,ROUND(cost_role_stone*cost_coef_defense_wall*cost_growth^(A127-2)*IF(A127&lt;=4,stage_early,IF(A127&lt;=stage_mid_level,stage_mid,IF(A127&lt;=stage_late_level,stage_normal,stage_late))),0))</f>
        <v>1936</v>
      </c>
      <c r="F127" s="1" t="n">
        <f aca="false">IF(A127=1,0,ROUND(cost_role_bone*cost_coef_defense_wall*cost_growth^(A127-2)*IF(A127&lt;=4,stage_early,IF(A127&lt;=stage_mid_level,stage_mid,IF(A127&lt;=stage_late_level,stage_normal,stage_late))),0))</f>
        <v>968</v>
      </c>
      <c r="G127" s="1" t="n">
        <f aca="false">IF(A127=1,0,ROUND(cost_role_hide*cost_coef_defense_wall*cost_growth^(A127-2)*IF(A127&lt;=4,stage_early,IF(A127&lt;=stage_mid_level,stage_mid,IF(A127&lt;=stage_late_level,stage_normal,stage_late))),0))</f>
        <v>1613</v>
      </c>
      <c r="H127" s="1" t="n">
        <f aca="false">IF(A127=1,0,ROUND(build_time_base_min*time_coef_defense_wall*time_growth^(A127-2)*IF(A127&lt;=4,stage_early,IF(A127&lt;=stage_mid_level,stage_mid,IF(A127&lt;=stage_late_level,stage_normal,stage_late)))/60,1))</f>
        <v>2.1</v>
      </c>
    </row>
    <row r="128" customFormat="false" ht="15" hidden="false" customHeight="false" outlineLevel="0" collapsed="false">
      <c r="A128" s="1" t="n">
        <v>14</v>
      </c>
      <c r="B128" s="1" t="n">
        <f aca="false">MAX(1,MIN(6,INT(A128/tier_step_building)))</f>
        <v>3</v>
      </c>
      <c r="C128" s="1" t="n">
        <f aca="false">ROUND(role_cap_base*role_cap_growth^(A128-1),0)</f>
        <v>64</v>
      </c>
      <c r="D128" s="1" t="n">
        <f aca="false">1+train_speed_per_level*(A128-1)</f>
        <v>1.52</v>
      </c>
      <c r="E128" s="1" t="n">
        <f aca="false">IF(A128=1,0,ROUND(cost_role_stone*cost_coef_defense_wall*cost_growth^(A128-2)*IF(A128&lt;=4,stage_early,IF(A128&lt;=stage_mid_level,stage_mid,IF(A128&lt;=stage_late_level,stage_normal,stage_late))),0))</f>
        <v>2516</v>
      </c>
      <c r="F128" s="1" t="n">
        <f aca="false">IF(A128=1,0,ROUND(cost_role_bone*cost_coef_defense_wall*cost_growth^(A128-2)*IF(A128&lt;=4,stage_early,IF(A128&lt;=stage_mid_level,stage_mid,IF(A128&lt;=stage_late_level,stage_normal,stage_late))),0))</f>
        <v>1258</v>
      </c>
      <c r="G128" s="1" t="n">
        <f aca="false">IF(A128=1,0,ROUND(cost_role_hide*cost_coef_defense_wall*cost_growth^(A128-2)*IF(A128&lt;=4,stage_early,IF(A128&lt;=stage_mid_level,stage_mid,IF(A128&lt;=stage_late_level,stage_normal,stage_late))),0))</f>
        <v>2097</v>
      </c>
      <c r="H128" s="1" t="n">
        <f aca="false">IF(A128=1,0,ROUND(build_time_base_min*time_coef_defense_wall*time_growth^(A128-2)*IF(A128&lt;=4,stage_early,IF(A128&lt;=stage_mid_level,stage_mid,IF(A128&lt;=stage_late_level,stage_normal,stage_late)))/60,1))</f>
        <v>2.7</v>
      </c>
    </row>
    <row r="129" customFormat="false" ht="15" hidden="false" customHeight="false" outlineLevel="0" collapsed="false">
      <c r="A129" s="1" t="n">
        <v>15</v>
      </c>
      <c r="B129" s="1" t="n">
        <f aca="false">MAX(1,MIN(6,INT(A129/tier_step_building)))</f>
        <v>3</v>
      </c>
      <c r="C129" s="1" t="n">
        <f aca="false">ROUND(role_cap_base*role_cap_growth^(A129-1),0)</f>
        <v>77</v>
      </c>
      <c r="D129" s="1" t="n">
        <f aca="false">1+train_speed_per_level*(A129-1)</f>
        <v>1.56</v>
      </c>
      <c r="E129" s="1" t="n">
        <f aca="false">IF(A129=1,0,ROUND(cost_role_stone*cost_coef_defense_wall*cost_growth^(A129-2)*IF(A129&lt;=4,stage_early,IF(A129&lt;=stage_mid_level,stage_mid,IF(A129&lt;=stage_late_level,stage_normal,stage_late))),0))</f>
        <v>3271</v>
      </c>
      <c r="F129" s="1" t="n">
        <f aca="false">IF(A129=1,0,ROUND(cost_role_bone*cost_coef_defense_wall*cost_growth^(A129-2)*IF(A129&lt;=4,stage_early,IF(A129&lt;=stage_mid_level,stage_mid,IF(A129&lt;=stage_late_level,stage_normal,stage_late))),0))</f>
        <v>1636</v>
      </c>
      <c r="G129" s="1" t="n">
        <f aca="false">IF(A129=1,0,ROUND(cost_role_hide*cost_coef_defense_wall*cost_growth^(A129-2)*IF(A129&lt;=4,stage_early,IF(A129&lt;=stage_mid_level,stage_mid,IF(A129&lt;=stage_late_level,stage_normal,stage_late))),0))</f>
        <v>2726</v>
      </c>
      <c r="H129" s="1" t="n">
        <f aca="false">IF(A129=1,0,ROUND(build_time_base_min*time_coef_defense_wall*time_growth^(A129-2)*IF(A129&lt;=4,stage_early,IF(A129&lt;=stage_mid_level,stage_mid,IF(A129&lt;=stage_late_level,stage_normal,stage_late)))/60,1))</f>
        <v>3.3</v>
      </c>
    </row>
    <row r="130" customFormat="false" ht="15" hidden="false" customHeight="false" outlineLevel="0" collapsed="false">
      <c r="A130" s="1" t="n">
        <v>16</v>
      </c>
      <c r="B130" s="1" t="n">
        <f aca="false">MAX(1,MIN(6,INT(A130/tier_step_building)))</f>
        <v>4</v>
      </c>
      <c r="C130" s="1" t="n">
        <f aca="false">ROUND(role_cap_base*role_cap_growth^(A130-1),0)</f>
        <v>92</v>
      </c>
      <c r="D130" s="1" t="n">
        <f aca="false">1+train_speed_per_level*(A130-1)</f>
        <v>1.6</v>
      </c>
      <c r="E130" s="1" t="n">
        <f aca="false">IF(A130=1,0,ROUND(cost_role_stone*cost_coef_defense_wall*cost_growth^(A130-2)*IF(A130&lt;=4,stage_early,IF(A130&lt;=stage_mid_level,stage_mid,IF(A130&lt;=stage_late_level,stage_normal,stage_late))),0))</f>
        <v>5315</v>
      </c>
      <c r="F130" s="1" t="n">
        <f aca="false">IF(A130=1,0,ROUND(cost_role_bone*cost_coef_defense_wall*cost_growth^(A130-2)*IF(A130&lt;=4,stage_early,IF(A130&lt;=stage_mid_level,stage_mid,IF(A130&lt;=stage_late_level,stage_normal,stage_late))),0))</f>
        <v>2658</v>
      </c>
      <c r="G130" s="1" t="n">
        <f aca="false">IF(A130=1,0,ROUND(cost_role_hide*cost_coef_defense_wall*cost_growth^(A130-2)*IF(A130&lt;=4,stage_early,IF(A130&lt;=stage_mid_level,stage_mid,IF(A130&lt;=stage_late_level,stage_normal,stage_late))),0))</f>
        <v>4430</v>
      </c>
      <c r="H130" s="1" t="n">
        <f aca="false">IF(A130=1,0,ROUND(build_time_base_min*time_coef_defense_wall*time_growth^(A130-2)*IF(A130&lt;=4,stage_early,IF(A130&lt;=stage_mid_level,stage_mid,IF(A130&lt;=stage_late_level,stage_normal,stage_late)))/60,1))</f>
        <v>5.2</v>
      </c>
    </row>
    <row r="131" customFormat="false" ht="15" hidden="false" customHeight="false" outlineLevel="0" collapsed="false">
      <c r="A131" s="1" t="n">
        <v>17</v>
      </c>
      <c r="B131" s="1" t="n">
        <f aca="false">MAX(1,MIN(6,INT(A131/tier_step_building)))</f>
        <v>4</v>
      </c>
      <c r="C131" s="1" t="n">
        <f aca="false">ROUND(role_cap_base*role_cap_growth^(A131-1),0)</f>
        <v>111</v>
      </c>
      <c r="D131" s="1" t="n">
        <f aca="false">1+train_speed_per_level*(A131-1)</f>
        <v>1.64</v>
      </c>
      <c r="E131" s="1" t="n">
        <f aca="false">IF(A131=1,0,ROUND(cost_role_stone*cost_coef_defense_wall*cost_growth^(A131-2)*IF(A131&lt;=4,stage_early,IF(A131&lt;=stage_mid_level,stage_mid,IF(A131&lt;=stage_late_level,stage_normal,stage_late))),0))</f>
        <v>6910</v>
      </c>
      <c r="F131" s="1" t="n">
        <f aca="false">IF(A131=1,0,ROUND(cost_role_bone*cost_coef_defense_wall*cost_growth^(A131-2)*IF(A131&lt;=4,stage_early,IF(A131&lt;=stage_mid_level,stage_mid,IF(A131&lt;=stage_late_level,stage_normal,stage_late))),0))</f>
        <v>3455</v>
      </c>
      <c r="G131" s="1" t="n">
        <f aca="false">IF(A131=1,0,ROUND(cost_role_hide*cost_coef_defense_wall*cost_growth^(A131-2)*IF(A131&lt;=4,stage_early,IF(A131&lt;=stage_mid_level,stage_mid,IF(A131&lt;=stage_late_level,stage_normal,stage_late))),0))</f>
        <v>5758</v>
      </c>
      <c r="H131" s="1" t="n">
        <f aca="false">IF(A131=1,0,ROUND(build_time_base_min*time_coef_defense_wall*time_growth^(A131-2)*IF(A131&lt;=4,stage_early,IF(A131&lt;=stage_mid_level,stage_mid,IF(A131&lt;=stage_late_level,stage_normal,stage_late)))/60,1))</f>
        <v>6.5</v>
      </c>
    </row>
    <row r="132" customFormat="false" ht="15" hidden="false" customHeight="false" outlineLevel="0" collapsed="false">
      <c r="A132" s="1" t="n">
        <v>18</v>
      </c>
      <c r="B132" s="1" t="n">
        <f aca="false">MAX(1,MIN(6,INT(A132/tier_step_building)))</f>
        <v>4</v>
      </c>
      <c r="C132" s="1" t="n">
        <f aca="false">ROUND(role_cap_base*role_cap_growth^(A132-1),0)</f>
        <v>133</v>
      </c>
      <c r="D132" s="1" t="n">
        <f aca="false">1+train_speed_per_level*(A132-1)</f>
        <v>1.68</v>
      </c>
      <c r="E132" s="1" t="n">
        <f aca="false">IF(A132=1,0,ROUND(cost_role_stone*cost_coef_defense_wall*cost_growth^(A132-2)*IF(A132&lt;=4,stage_early,IF(A132&lt;=stage_mid_level,stage_mid,IF(A132&lt;=stage_late_level,stage_normal,stage_late))),0))</f>
        <v>8983</v>
      </c>
      <c r="F132" s="1" t="n">
        <f aca="false">IF(A132=1,0,ROUND(cost_role_bone*cost_coef_defense_wall*cost_growth^(A132-2)*IF(A132&lt;=4,stage_early,IF(A132&lt;=stage_mid_level,stage_mid,IF(A132&lt;=stage_late_level,stage_normal,stage_late))),0))</f>
        <v>4492</v>
      </c>
      <c r="G132" s="1" t="n">
        <f aca="false">IF(A132=1,0,ROUND(cost_role_hide*cost_coef_defense_wall*cost_growth^(A132-2)*IF(A132&lt;=4,stage_early,IF(A132&lt;=stage_mid_level,stage_mid,IF(A132&lt;=stage_late_level,stage_normal,stage_late))),0))</f>
        <v>7486</v>
      </c>
      <c r="H132" s="1" t="n">
        <f aca="false">IF(A132=1,0,ROUND(build_time_base_min*time_coef_defense_wall*time_growth^(A132-2)*IF(A132&lt;=4,stage_early,IF(A132&lt;=stage_mid_level,stage_mid,IF(A132&lt;=stage_late_level,stage_normal,stage_late)))/60,1))</f>
        <v>8.1</v>
      </c>
    </row>
    <row r="133" customFormat="false" ht="15" hidden="false" customHeight="false" outlineLevel="0" collapsed="false">
      <c r="A133" s="1" t="n">
        <v>19</v>
      </c>
      <c r="B133" s="1" t="n">
        <f aca="false">MAX(1,MIN(6,INT(A133/tier_step_building)))</f>
        <v>4</v>
      </c>
      <c r="C133" s="1" t="n">
        <f aca="false">ROUND(role_cap_base*role_cap_growth^(A133-1),0)</f>
        <v>160</v>
      </c>
      <c r="D133" s="1" t="n">
        <f aca="false">1+train_speed_per_level*(A133-1)</f>
        <v>1.72</v>
      </c>
      <c r="E133" s="1" t="n">
        <f aca="false">IF(A133=1,0,ROUND(cost_role_stone*cost_coef_defense_wall*cost_growth^(A133-2)*IF(A133&lt;=4,stage_early,IF(A133&lt;=stage_mid_level,stage_mid,IF(A133&lt;=stage_late_level,stage_normal,stage_late))),0))</f>
        <v>11678</v>
      </c>
      <c r="F133" s="1" t="n">
        <f aca="false">IF(A133=1,0,ROUND(cost_role_bone*cost_coef_defense_wall*cost_growth^(A133-2)*IF(A133&lt;=4,stage_early,IF(A133&lt;=stage_mid_level,stage_mid,IF(A133&lt;=stage_late_level,stage_normal,stage_late))),0))</f>
        <v>5839</v>
      </c>
      <c r="G133" s="1" t="n">
        <f aca="false">IF(A133=1,0,ROUND(cost_role_hide*cost_coef_defense_wall*cost_growth^(A133-2)*IF(A133&lt;=4,stage_early,IF(A133&lt;=stage_mid_level,stage_mid,IF(A133&lt;=stage_late_level,stage_normal,stage_late))),0))</f>
        <v>9732</v>
      </c>
      <c r="H133" s="1" t="n">
        <f aca="false">IF(A133=1,0,ROUND(build_time_base_min*time_coef_defense_wall*time_growth^(A133-2)*IF(A133&lt;=4,stage_early,IF(A133&lt;=stage_mid_level,stage_mid,IF(A133&lt;=stage_late_level,stage_normal,stage_late)))/60,1))</f>
        <v>10.2</v>
      </c>
    </row>
    <row r="134" customFormat="false" ht="15" hidden="false" customHeight="false" outlineLevel="0" collapsed="false">
      <c r="A134" s="1" t="n">
        <v>20</v>
      </c>
      <c r="B134" s="1" t="n">
        <f aca="false">MAX(1,MIN(6,INT(A134/tier_step_building)))</f>
        <v>5</v>
      </c>
      <c r="C134" s="1" t="n">
        <f aca="false">ROUND(role_cap_base*role_cap_growth^(A134-1),0)</f>
        <v>192</v>
      </c>
      <c r="D134" s="1" t="n">
        <f aca="false">1+train_speed_per_level*(A134-1)</f>
        <v>1.76</v>
      </c>
      <c r="E134" s="1" t="n">
        <f aca="false">IF(A134=1,0,ROUND(cost_role_stone*cost_coef_defense_wall*cost_growth^(A134-2)*IF(A134&lt;=4,stage_early,IF(A134&lt;=stage_mid_level,stage_mid,IF(A134&lt;=stage_late_level,stage_normal,stage_late))),0))</f>
        <v>15181</v>
      </c>
      <c r="F134" s="1" t="n">
        <f aca="false">IF(A134=1,0,ROUND(cost_role_bone*cost_coef_defense_wall*cost_growth^(A134-2)*IF(A134&lt;=4,stage_early,IF(A134&lt;=stage_mid_level,stage_mid,IF(A134&lt;=stage_late_level,stage_normal,stage_late))),0))</f>
        <v>7591</v>
      </c>
      <c r="G134" s="1" t="n">
        <f aca="false">IF(A134=1,0,ROUND(cost_role_hide*cost_coef_defense_wall*cost_growth^(A134-2)*IF(A134&lt;=4,stage_early,IF(A134&lt;=stage_mid_level,stage_mid,IF(A134&lt;=stage_late_level,stage_normal,stage_late))),0))</f>
        <v>12651</v>
      </c>
      <c r="H134" s="1" t="n">
        <f aca="false">IF(A134=1,0,ROUND(build_time_base_min*time_coef_defense_wall*time_growth^(A134-2)*IF(A134&lt;=4,stage_early,IF(A134&lt;=stage_mid_level,stage_mid,IF(A134&lt;=stage_late_level,stage_normal,stage_late)))/60,1))</f>
        <v>12.7</v>
      </c>
    </row>
    <row r="135" customFormat="false" ht="15" hidden="false" customHeight="false" outlineLevel="0" collapsed="false">
      <c r="A135" s="1" t="n">
        <v>21</v>
      </c>
      <c r="B135" s="1" t="n">
        <f aca="false">MAX(1,MIN(6,INT(A135/tier_step_building)))</f>
        <v>5</v>
      </c>
      <c r="C135" s="1" t="n">
        <f aca="false">ROUND(role_cap_base*role_cap_growth^(A135-1),0)</f>
        <v>230</v>
      </c>
      <c r="D135" s="1" t="n">
        <f aca="false">1+train_speed_per_level*(A135-1)</f>
        <v>1.8</v>
      </c>
      <c r="E135" s="1" t="n">
        <f aca="false">IF(A135=1,0,ROUND(cost_role_stone*cost_coef_defense_wall*cost_growth^(A135-2)*IF(A135&lt;=4,stage_early,IF(A135&lt;=stage_mid_level,stage_mid,IF(A135&lt;=stage_late_level,stage_normal,stage_late))),0))</f>
        <v>19736</v>
      </c>
      <c r="F135" s="1" t="n">
        <f aca="false">IF(A135=1,0,ROUND(cost_role_bone*cost_coef_defense_wall*cost_growth^(A135-2)*IF(A135&lt;=4,stage_early,IF(A135&lt;=stage_mid_level,stage_mid,IF(A135&lt;=stage_late_level,stage_normal,stage_late))),0))</f>
        <v>9868</v>
      </c>
      <c r="G135" s="1" t="n">
        <f aca="false">IF(A135=1,0,ROUND(cost_role_hide*cost_coef_defense_wall*cost_growth^(A135-2)*IF(A135&lt;=4,stage_early,IF(A135&lt;=stage_mid_level,stage_mid,IF(A135&lt;=stage_late_level,stage_normal,stage_late))),0))</f>
        <v>16447</v>
      </c>
      <c r="H135" s="1" t="n">
        <f aca="false">IF(A135=1,0,ROUND(build_time_base_min*time_coef_defense_wall*time_growth^(A135-2)*IF(A135&lt;=4,stage_early,IF(A135&lt;=stage_mid_level,stage_mid,IF(A135&lt;=stage_late_level,stage_normal,stage_late)))/60,1))</f>
        <v>15.9</v>
      </c>
    </row>
    <row r="136" customFormat="false" ht="15" hidden="false" customHeight="false" outlineLevel="0" collapsed="false">
      <c r="A136" s="1" t="n">
        <v>22</v>
      </c>
      <c r="B136" s="1" t="n">
        <f aca="false">MAX(1,MIN(6,INT(A136/tier_step_building)))</f>
        <v>5</v>
      </c>
      <c r="C136" s="1" t="n">
        <f aca="false">ROUND(role_cap_base*role_cap_growth^(A136-1),0)</f>
        <v>276</v>
      </c>
      <c r="D136" s="1" t="n">
        <f aca="false">1+train_speed_per_level*(A136-1)</f>
        <v>1.84</v>
      </c>
      <c r="E136" s="1" t="n">
        <f aca="false">IF(A136=1,0,ROUND(cost_role_stone*cost_coef_defense_wall*cost_growth^(A136-2)*IF(A136&lt;=4,stage_early,IF(A136&lt;=stage_mid_level,stage_mid,IF(A136&lt;=stage_late_level,stage_normal,stage_late))),0))</f>
        <v>25657</v>
      </c>
      <c r="F136" s="1" t="n">
        <f aca="false">IF(A136=1,0,ROUND(cost_role_bone*cost_coef_defense_wall*cost_growth^(A136-2)*IF(A136&lt;=4,stage_early,IF(A136&lt;=stage_mid_level,stage_mid,IF(A136&lt;=stage_late_level,stage_normal,stage_late))),0))</f>
        <v>12828</v>
      </c>
      <c r="G136" s="1" t="n">
        <f aca="false">IF(A136=1,0,ROUND(cost_role_hide*cost_coef_defense_wall*cost_growth^(A136-2)*IF(A136&lt;=4,stage_early,IF(A136&lt;=stage_mid_level,stage_mid,IF(A136&lt;=stage_late_level,stage_normal,stage_late))),0))</f>
        <v>21381</v>
      </c>
      <c r="H136" s="1" t="n">
        <f aca="false">IF(A136=1,0,ROUND(build_time_base_min*time_coef_defense_wall*time_growth^(A136-2)*IF(A136&lt;=4,stage_early,IF(A136&lt;=stage_mid_level,stage_mid,IF(A136&lt;=stage_late_level,stage_normal,stage_late)))/60,1))</f>
        <v>19.9</v>
      </c>
    </row>
    <row r="137" customFormat="false" ht="15" hidden="false" customHeight="false" outlineLevel="0" collapsed="false">
      <c r="A137" s="1" t="n">
        <v>23</v>
      </c>
      <c r="B137" s="1" t="n">
        <f aca="false">MAX(1,MIN(6,INT(A137/tier_step_building)))</f>
        <v>5</v>
      </c>
      <c r="C137" s="1" t="n">
        <f aca="false">ROUND(role_cap_base*role_cap_growth^(A137-1),0)</f>
        <v>331</v>
      </c>
      <c r="D137" s="1" t="n">
        <f aca="false">1+train_speed_per_level*(A137-1)</f>
        <v>1.88</v>
      </c>
      <c r="E137" s="1" t="n">
        <f aca="false">IF(A137=1,0,ROUND(cost_role_stone*cost_coef_defense_wall*cost_growth^(A137-2)*IF(A137&lt;=4,stage_early,IF(A137&lt;=stage_mid_level,stage_mid,IF(A137&lt;=stage_late_level,stage_normal,stage_late))),0))</f>
        <v>33354</v>
      </c>
      <c r="F137" s="1" t="n">
        <f aca="false">IF(A137=1,0,ROUND(cost_role_bone*cost_coef_defense_wall*cost_growth^(A137-2)*IF(A137&lt;=4,stage_early,IF(A137&lt;=stage_mid_level,stage_mid,IF(A137&lt;=stage_late_level,stage_normal,stage_late))),0))</f>
        <v>16677</v>
      </c>
      <c r="G137" s="1" t="n">
        <f aca="false">IF(A137=1,0,ROUND(cost_role_hide*cost_coef_defense_wall*cost_growth^(A137-2)*IF(A137&lt;=4,stage_early,IF(A137&lt;=stage_mid_level,stage_mid,IF(A137&lt;=stage_late_level,stage_normal,stage_late))),0))</f>
        <v>27795</v>
      </c>
      <c r="H137" s="1" t="n">
        <f aca="false">IF(A137=1,0,ROUND(build_time_base_min*time_coef_defense_wall*time_growth^(A137-2)*IF(A137&lt;=4,stage_early,IF(A137&lt;=stage_mid_level,stage_mid,IF(A137&lt;=stage_late_level,stage_normal,stage_late)))/60,1))</f>
        <v>24.8</v>
      </c>
    </row>
    <row r="138" customFormat="false" ht="15" hidden="false" customHeight="false" outlineLevel="0" collapsed="false">
      <c r="A138" s="1" t="n">
        <v>24</v>
      </c>
      <c r="B138" s="1" t="n">
        <f aca="false">MAX(1,MIN(6,INT(A138/tier_step_building)))</f>
        <v>6</v>
      </c>
      <c r="C138" s="1" t="n">
        <f aca="false">ROUND(role_cap_base*role_cap_growth^(A138-1),0)</f>
        <v>397</v>
      </c>
      <c r="D138" s="1" t="n">
        <f aca="false">1+train_speed_per_level*(A138-1)</f>
        <v>1.92</v>
      </c>
      <c r="E138" s="1" t="n">
        <f aca="false">IF(A138=1,0,ROUND(cost_role_stone*cost_coef_defense_wall*cost_growth^(A138-2)*IF(A138&lt;=4,stage_early,IF(A138&lt;=stage_mid_level,stage_mid,IF(A138&lt;=stage_late_level,stage_normal,stage_late))),0))</f>
        <v>43360</v>
      </c>
      <c r="F138" s="1" t="n">
        <f aca="false">IF(A138=1,0,ROUND(cost_role_bone*cost_coef_defense_wall*cost_growth^(A138-2)*IF(A138&lt;=4,stage_early,IF(A138&lt;=stage_mid_level,stage_mid,IF(A138&lt;=stage_late_level,stage_normal,stage_late))),0))</f>
        <v>21680</v>
      </c>
      <c r="G138" s="1" t="n">
        <f aca="false">IF(A138=1,0,ROUND(cost_role_hide*cost_coef_defense_wall*cost_growth^(A138-2)*IF(A138&lt;=4,stage_early,IF(A138&lt;=stage_mid_level,stage_mid,IF(A138&lt;=stage_late_level,stage_normal,stage_late))),0))</f>
        <v>36133</v>
      </c>
      <c r="H138" s="1" t="n">
        <f aca="false">IF(A138=1,0,ROUND(build_time_base_min*time_coef_defense_wall*time_growth^(A138-2)*IF(A138&lt;=4,stage_early,IF(A138&lt;=stage_mid_level,stage_mid,IF(A138&lt;=stage_late_level,stage_normal,stage_late)))/60,1))</f>
        <v>31.1</v>
      </c>
    </row>
    <row r="139" customFormat="false" ht="15" hidden="false" customHeight="false" outlineLevel="0" collapsed="false">
      <c r="A139" s="1" t="n">
        <v>25</v>
      </c>
      <c r="B139" s="1" t="n">
        <f aca="false">MAX(1,MIN(6,INT(A139/tier_step_building)))</f>
        <v>6</v>
      </c>
      <c r="C139" s="1" t="n">
        <f aca="false">ROUND(role_cap_base*role_cap_growth^(A139-1),0)</f>
        <v>477</v>
      </c>
      <c r="D139" s="1" t="n">
        <f aca="false">1+train_speed_per_level*(A139-1)</f>
        <v>1.96</v>
      </c>
      <c r="E139" s="1" t="n">
        <f aca="false">IF(A139=1,0,ROUND(cost_role_stone*cost_coef_defense_wall*cost_growth^(A139-2)*IF(A139&lt;=4,stage_early,IF(A139&lt;=stage_mid_level,stage_mid,IF(A139&lt;=stage_late_level,stage_normal,stage_late))),0))</f>
        <v>56368</v>
      </c>
      <c r="F139" s="1" t="n">
        <f aca="false">IF(A139=1,0,ROUND(cost_role_bone*cost_coef_defense_wall*cost_growth^(A139-2)*IF(A139&lt;=4,stage_early,IF(A139&lt;=stage_mid_level,stage_mid,IF(A139&lt;=stage_late_level,stage_normal,stage_late))),0))</f>
        <v>28184</v>
      </c>
      <c r="G139" s="1" t="n">
        <f aca="false">IF(A139=1,0,ROUND(cost_role_hide*cost_coef_defense_wall*cost_growth^(A139-2)*IF(A139&lt;=4,stage_early,IF(A139&lt;=stage_mid_level,stage_mid,IF(A139&lt;=stage_late_level,stage_normal,stage_late))),0))</f>
        <v>46973</v>
      </c>
      <c r="H139" s="1" t="n">
        <f aca="false">IF(A139=1,0,ROUND(build_time_base_min*time_coef_defense_wall*time_growth^(A139-2)*IF(A139&lt;=4,stage_early,IF(A139&lt;=stage_mid_level,stage_mid,IF(A139&lt;=stage_late_level,stage_normal,stage_late)))/60,1))</f>
        <v>38.8</v>
      </c>
    </row>
    <row r="140" customFormat="false" ht="15" hidden="false" customHeight="false" outlineLevel="0" collapsed="false">
      <c r="A140" s="1" t="s">
        <v>154</v>
      </c>
    </row>
    <row r="141" customFormat="false" ht="15" hidden="false" customHeight="false" outlineLevel="0" collapsed="false">
      <c r="A141" s="2" t="s">
        <v>2</v>
      </c>
      <c r="B141" s="2" t="s">
        <v>148</v>
      </c>
      <c r="C141" s="2" t="s">
        <v>149</v>
      </c>
      <c r="D141" s="2" t="s">
        <v>150</v>
      </c>
      <c r="E141" s="2" t="s">
        <v>138</v>
      </c>
      <c r="F141" s="2" t="s">
        <v>146</v>
      </c>
      <c r="G141" s="2" t="s">
        <v>151</v>
      </c>
      <c r="H141" s="2" t="s">
        <v>140</v>
      </c>
    </row>
    <row r="142" customFormat="false" ht="15" hidden="false" customHeight="false" outlineLevel="0" collapsed="false">
      <c r="A142" s="1" t="n">
        <v>1</v>
      </c>
      <c r="B142" s="1" t="n">
        <f aca="false">MAX(1,MIN(6,INT(A142/tier_step_building)))</f>
        <v>1</v>
      </c>
      <c r="C142" s="1" t="n">
        <f aca="false">ROUND(role_cap_base*role_cap_growth^(A142-1),0)</f>
        <v>6</v>
      </c>
      <c r="D142" s="1" t="n">
        <f aca="false">1+train_speed_per_level*(A142-1)</f>
        <v>1</v>
      </c>
      <c r="E142" s="1" t="n">
        <f aca="false">IF(A142=1,0,ROUND(cost_role_stone*cost_coef_hunt_path*cost_growth^(A142-2)*IF(A142&lt;=4,stage_early,IF(A142&lt;=stage_mid_level,stage_mid,IF(A142&lt;=stage_late_level,stage_normal,stage_late))),0))</f>
        <v>0</v>
      </c>
      <c r="F142" s="1" t="n">
        <f aca="false">IF(A142=1,0,ROUND(cost_role_bone*cost_coef_hunt_path*cost_growth^(A142-2)*IF(A142&lt;=4,stage_early,IF(A142&lt;=stage_mid_level,stage_mid,IF(A142&lt;=stage_late_level,stage_normal,stage_late))),0))</f>
        <v>0</v>
      </c>
      <c r="G142" s="1" t="n">
        <f aca="false">IF(A142=1,0,ROUND(cost_role_hide*cost_coef_hunt_path*cost_growth^(A142-2)*IF(A142&lt;=4,stage_early,IF(A142&lt;=stage_mid_level,stage_mid,IF(A142&lt;=stage_late_level,stage_normal,stage_late))),0))</f>
        <v>0</v>
      </c>
      <c r="H142" s="1" t="n">
        <f aca="false">IF(A142=1,0,ROUND(build_time_base_min*time_coef_hunt_path*time_growth^(A142-2)*IF(A142&lt;=4,stage_early,IF(A142&lt;=stage_mid_level,stage_mid,IF(A142&lt;=stage_late_level,stage_normal,stage_late)))/60,1))</f>
        <v>0</v>
      </c>
    </row>
    <row r="143" customFormat="false" ht="15" hidden="false" customHeight="false" outlineLevel="0" collapsed="false">
      <c r="A143" s="1" t="n">
        <v>2</v>
      </c>
      <c r="B143" s="1" t="n">
        <f aca="false">MAX(1,MIN(6,INT(A143/tier_step_building)))</f>
        <v>1</v>
      </c>
      <c r="C143" s="1" t="n">
        <f aca="false">ROUND(role_cap_base*role_cap_growth^(A143-1),0)</f>
        <v>7</v>
      </c>
      <c r="D143" s="1" t="n">
        <f aca="false">1+train_speed_per_level*(A143-1)</f>
        <v>1.04</v>
      </c>
      <c r="E143" s="1" t="n">
        <f aca="false">IF(A143=1,0,ROUND(cost_role_stone*cost_coef_hunt_path*cost_growth^(A143-2)*IF(A143&lt;=4,stage_early,IF(A143&lt;=stage_mid_level,stage_mid,IF(A143&lt;=stage_late_level,stage_normal,stage_late))),0))</f>
        <v>32</v>
      </c>
      <c r="F143" s="1" t="n">
        <f aca="false">IF(A143=1,0,ROUND(cost_role_bone*cost_coef_hunt_path*cost_growth^(A143-2)*IF(A143&lt;=4,stage_early,IF(A143&lt;=stage_mid_level,stage_mid,IF(A143&lt;=stage_late_level,stage_normal,stage_late))),0))</f>
        <v>16</v>
      </c>
      <c r="G143" s="1" t="n">
        <f aca="false">IF(A143=1,0,ROUND(cost_role_hide*cost_coef_hunt_path*cost_growth^(A143-2)*IF(A143&lt;=4,stage_early,IF(A143&lt;=stage_mid_level,stage_mid,IF(A143&lt;=stage_late_level,stage_normal,stage_late))),0))</f>
        <v>27</v>
      </c>
      <c r="H143" s="1" t="n">
        <f aca="false">IF(A143=1,0,ROUND(build_time_base_min*time_coef_hunt_path*time_growth^(A143-2)*IF(A143&lt;=4,stage_early,IF(A143&lt;=stage_mid_level,stage_mid,IF(A143&lt;=stage_late_level,stage_normal,stage_late)))/60,1))</f>
        <v>0</v>
      </c>
    </row>
    <row r="144" customFormat="false" ht="15" hidden="false" customHeight="false" outlineLevel="0" collapsed="false">
      <c r="A144" s="1" t="n">
        <v>3</v>
      </c>
      <c r="B144" s="1" t="n">
        <f aca="false">MAX(1,MIN(6,INT(A144/tier_step_building)))</f>
        <v>1</v>
      </c>
      <c r="C144" s="1" t="n">
        <f aca="false">ROUND(role_cap_base*role_cap_growth^(A144-1),0)</f>
        <v>9</v>
      </c>
      <c r="D144" s="1" t="n">
        <f aca="false">1+train_speed_per_level*(A144-1)</f>
        <v>1.08</v>
      </c>
      <c r="E144" s="1" t="n">
        <f aca="false">IF(A144=1,0,ROUND(cost_role_stone*cost_coef_hunt_path*cost_growth^(A144-2)*IF(A144&lt;=4,stage_early,IF(A144&lt;=stage_mid_level,stage_mid,IF(A144&lt;=stage_late_level,stage_normal,stage_late))),0))</f>
        <v>42</v>
      </c>
      <c r="F144" s="1" t="n">
        <f aca="false">IF(A144=1,0,ROUND(cost_role_bone*cost_coef_hunt_path*cost_growth^(A144-2)*IF(A144&lt;=4,stage_early,IF(A144&lt;=stage_mid_level,stage_mid,IF(A144&lt;=stage_late_level,stage_normal,stage_late))),0))</f>
        <v>21</v>
      </c>
      <c r="G144" s="1" t="n">
        <f aca="false">IF(A144=1,0,ROUND(cost_role_hide*cost_coef_hunt_path*cost_growth^(A144-2)*IF(A144&lt;=4,stage_early,IF(A144&lt;=stage_mid_level,stage_mid,IF(A144&lt;=stage_late_level,stage_normal,stage_late))),0))</f>
        <v>35</v>
      </c>
      <c r="H144" s="1" t="n">
        <f aca="false">IF(A144=1,0,ROUND(build_time_base_min*time_coef_hunt_path*time_growth^(A144-2)*IF(A144&lt;=4,stage_early,IF(A144&lt;=stage_mid_level,stage_mid,IF(A144&lt;=stage_late_level,stage_normal,stage_late)))/60,1))</f>
        <v>0.1</v>
      </c>
    </row>
    <row r="145" customFormat="false" ht="15" hidden="false" customHeight="false" outlineLevel="0" collapsed="false">
      <c r="A145" s="1" t="n">
        <v>4</v>
      </c>
      <c r="B145" s="1" t="n">
        <f aca="false">MAX(1,MIN(6,INT(A145/tier_step_building)))</f>
        <v>1</v>
      </c>
      <c r="C145" s="1" t="n">
        <f aca="false">ROUND(role_cap_base*role_cap_growth^(A145-1),0)</f>
        <v>10</v>
      </c>
      <c r="D145" s="1" t="n">
        <f aca="false">1+train_speed_per_level*(A145-1)</f>
        <v>1.12</v>
      </c>
      <c r="E145" s="1" t="n">
        <f aca="false">IF(A145=1,0,ROUND(cost_role_stone*cost_coef_hunt_path*cost_growth^(A145-2)*IF(A145&lt;=4,stage_early,IF(A145&lt;=stage_mid_level,stage_mid,IF(A145&lt;=stage_late_level,stage_normal,stage_late))),0))</f>
        <v>55</v>
      </c>
      <c r="F145" s="1" t="n">
        <f aca="false">IF(A145=1,0,ROUND(cost_role_bone*cost_coef_hunt_path*cost_growth^(A145-2)*IF(A145&lt;=4,stage_early,IF(A145&lt;=stage_mid_level,stage_mid,IF(A145&lt;=stage_late_level,stage_normal,stage_late))),0))</f>
        <v>27</v>
      </c>
      <c r="G145" s="1" t="n">
        <f aca="false">IF(A145=1,0,ROUND(cost_role_hide*cost_coef_hunt_path*cost_growth^(A145-2)*IF(A145&lt;=4,stage_early,IF(A145&lt;=stage_mid_level,stage_mid,IF(A145&lt;=stage_late_level,stage_normal,stage_late))),0))</f>
        <v>46</v>
      </c>
      <c r="H145" s="1" t="n">
        <f aca="false">IF(A145=1,0,ROUND(build_time_base_min*time_coef_hunt_path*time_growth^(A145-2)*IF(A145&lt;=4,stage_early,IF(A145&lt;=stage_mid_level,stage_mid,IF(A145&lt;=stage_late_level,stage_normal,stage_late)))/60,1))</f>
        <v>0.1</v>
      </c>
    </row>
    <row r="146" customFormat="false" ht="15" hidden="false" customHeight="false" outlineLevel="0" collapsed="false">
      <c r="A146" s="1" t="n">
        <v>5</v>
      </c>
      <c r="B146" s="1" t="n">
        <f aca="false">MAX(1,MIN(6,INT(A146/tier_step_building)))</f>
        <v>1</v>
      </c>
      <c r="C146" s="1" t="n">
        <f aca="false">ROUND(role_cap_base*role_cap_growth^(A146-1),0)</f>
        <v>12</v>
      </c>
      <c r="D146" s="1" t="n">
        <f aca="false">1+train_speed_per_level*(A146-1)</f>
        <v>1.16</v>
      </c>
      <c r="E146" s="1" t="n">
        <f aca="false">IF(A146=1,0,ROUND(cost_role_stone*cost_coef_hunt_path*cost_growth^(A146-2)*IF(A146&lt;=4,stage_early,IF(A146&lt;=stage_mid_level,stage_mid,IF(A146&lt;=stage_late_level,stage_normal,stage_late))),0))</f>
        <v>125</v>
      </c>
      <c r="F146" s="1" t="n">
        <f aca="false">IF(A146=1,0,ROUND(cost_role_bone*cost_coef_hunt_path*cost_growth^(A146-2)*IF(A146&lt;=4,stage_early,IF(A146&lt;=stage_mid_level,stage_mid,IF(A146&lt;=stage_late_level,stage_normal,stage_late))),0))</f>
        <v>62</v>
      </c>
      <c r="G146" s="1" t="n">
        <f aca="false">IF(A146=1,0,ROUND(cost_role_hide*cost_coef_hunt_path*cost_growth^(A146-2)*IF(A146&lt;=4,stage_early,IF(A146&lt;=stage_mid_level,stage_mid,IF(A146&lt;=stage_late_level,stage_normal,stage_late))),0))</f>
        <v>104</v>
      </c>
      <c r="H146" s="1" t="n">
        <f aca="false">IF(A146=1,0,ROUND(build_time_base_min*time_coef_hunt_path*time_growth^(A146-2)*IF(A146&lt;=4,stage_early,IF(A146&lt;=stage_mid_level,stage_mid,IF(A146&lt;=stage_late_level,stage_normal,stage_late)))/60,1))</f>
        <v>0.2</v>
      </c>
    </row>
    <row r="147" customFormat="false" ht="15" hidden="false" customHeight="false" outlineLevel="0" collapsed="false">
      <c r="A147" s="1" t="n">
        <v>6</v>
      </c>
      <c r="B147" s="1" t="n">
        <f aca="false">MAX(1,MIN(6,INT(A147/tier_step_building)))</f>
        <v>1</v>
      </c>
      <c r="C147" s="1" t="n">
        <f aca="false">ROUND(role_cap_base*role_cap_growth^(A147-1),0)</f>
        <v>15</v>
      </c>
      <c r="D147" s="1" t="n">
        <f aca="false">1+train_speed_per_level*(A147-1)</f>
        <v>1.2</v>
      </c>
      <c r="E147" s="1" t="n">
        <f aca="false">IF(A147=1,0,ROUND(cost_role_stone*cost_coef_hunt_path*cost_growth^(A147-2)*IF(A147&lt;=4,stage_early,IF(A147&lt;=stage_mid_level,stage_mid,IF(A147&lt;=stage_late_level,stage_normal,stage_late))),0))</f>
        <v>162</v>
      </c>
      <c r="F147" s="1" t="n">
        <f aca="false">IF(A147=1,0,ROUND(cost_role_bone*cost_coef_hunt_path*cost_growth^(A147-2)*IF(A147&lt;=4,stage_early,IF(A147&lt;=stage_mid_level,stage_mid,IF(A147&lt;=stage_late_level,stage_normal,stage_late))),0))</f>
        <v>81</v>
      </c>
      <c r="G147" s="1" t="n">
        <f aca="false">IF(A147=1,0,ROUND(cost_role_hide*cost_coef_hunt_path*cost_growth^(A147-2)*IF(A147&lt;=4,stage_early,IF(A147&lt;=stage_mid_level,stage_mid,IF(A147&lt;=stage_late_level,stage_normal,stage_late))),0))</f>
        <v>135</v>
      </c>
      <c r="H147" s="1" t="n">
        <f aca="false">IF(A147=1,0,ROUND(build_time_base_min*time_coef_hunt_path*time_growth^(A147-2)*IF(A147&lt;=4,stage_early,IF(A147&lt;=stage_mid_level,stage_mid,IF(A147&lt;=stage_late_level,stage_normal,stage_late)))/60,1))</f>
        <v>0.2</v>
      </c>
    </row>
    <row r="148" customFormat="false" ht="15" hidden="false" customHeight="false" outlineLevel="0" collapsed="false">
      <c r="A148" s="1" t="n">
        <v>7</v>
      </c>
      <c r="B148" s="1" t="n">
        <f aca="false">MAX(1,MIN(6,INT(A148/tier_step_building)))</f>
        <v>1</v>
      </c>
      <c r="C148" s="1" t="n">
        <f aca="false">ROUND(role_cap_base*role_cap_growth^(A148-1),0)</f>
        <v>18</v>
      </c>
      <c r="D148" s="1" t="n">
        <f aca="false">1+train_speed_per_level*(A148-1)</f>
        <v>1.24</v>
      </c>
      <c r="E148" s="1" t="n">
        <f aca="false">IF(A148=1,0,ROUND(cost_role_stone*cost_coef_hunt_path*cost_growth^(A148-2)*IF(A148&lt;=4,stage_early,IF(A148&lt;=stage_mid_level,stage_mid,IF(A148&lt;=stage_late_level,stage_normal,stage_late))),0))</f>
        <v>211</v>
      </c>
      <c r="F148" s="1" t="n">
        <f aca="false">IF(A148=1,0,ROUND(cost_role_bone*cost_coef_hunt_path*cost_growth^(A148-2)*IF(A148&lt;=4,stage_early,IF(A148&lt;=stage_mid_level,stage_mid,IF(A148&lt;=stage_late_level,stage_normal,stage_late))),0))</f>
        <v>105</v>
      </c>
      <c r="G148" s="1" t="n">
        <f aca="false">IF(A148=1,0,ROUND(cost_role_hide*cost_coef_hunt_path*cost_growth^(A148-2)*IF(A148&lt;=4,stage_early,IF(A148&lt;=stage_mid_level,stage_mid,IF(A148&lt;=stage_late_level,stage_normal,stage_late))),0))</f>
        <v>175</v>
      </c>
      <c r="H148" s="1" t="n">
        <f aca="false">IF(A148=1,0,ROUND(build_time_base_min*time_coef_hunt_path*time_growth^(A148-2)*IF(A148&lt;=4,stage_early,IF(A148&lt;=stage_mid_level,stage_mid,IF(A148&lt;=stage_late_level,stage_normal,stage_late)))/60,1))</f>
        <v>0.2</v>
      </c>
    </row>
    <row r="149" customFormat="false" ht="15" hidden="false" customHeight="false" outlineLevel="0" collapsed="false">
      <c r="A149" s="1" t="n">
        <v>8</v>
      </c>
      <c r="B149" s="1" t="n">
        <f aca="false">MAX(1,MIN(6,INT(A149/tier_step_building)))</f>
        <v>2</v>
      </c>
      <c r="C149" s="1" t="n">
        <f aca="false">ROUND(role_cap_base*role_cap_growth^(A149-1),0)</f>
        <v>21</v>
      </c>
      <c r="D149" s="1" t="n">
        <f aca="false">1+train_speed_per_level*(A149-1)</f>
        <v>1.28</v>
      </c>
      <c r="E149" s="1" t="n">
        <f aca="false">IF(A149=1,0,ROUND(cost_role_stone*cost_coef_hunt_path*cost_growth^(A149-2)*IF(A149&lt;=4,stage_early,IF(A149&lt;=stage_mid_level,stage_mid,IF(A149&lt;=stage_late_level,stage_normal,stage_late))),0))</f>
        <v>274</v>
      </c>
      <c r="F149" s="1" t="n">
        <f aca="false">IF(A149=1,0,ROUND(cost_role_bone*cost_coef_hunt_path*cost_growth^(A149-2)*IF(A149&lt;=4,stage_early,IF(A149&lt;=stage_mid_level,stage_mid,IF(A149&lt;=stage_late_level,stage_normal,stage_late))),0))</f>
        <v>137</v>
      </c>
      <c r="G149" s="1" t="n">
        <f aca="false">IF(A149=1,0,ROUND(cost_role_hide*cost_coef_hunt_path*cost_growth^(A149-2)*IF(A149&lt;=4,stage_early,IF(A149&lt;=stage_mid_level,stage_mid,IF(A149&lt;=stage_late_level,stage_normal,stage_late))),0))</f>
        <v>228</v>
      </c>
      <c r="H149" s="1" t="n">
        <f aca="false">IF(A149=1,0,ROUND(build_time_base_min*time_coef_hunt_path*time_growth^(A149-2)*IF(A149&lt;=4,stage_early,IF(A149&lt;=stage_mid_level,stage_mid,IF(A149&lt;=stage_late_level,stage_normal,stage_late)))/60,1))</f>
        <v>0.3</v>
      </c>
    </row>
    <row r="150" customFormat="false" ht="15" hidden="false" customHeight="false" outlineLevel="0" collapsed="false">
      <c r="A150" s="1" t="n">
        <v>9</v>
      </c>
      <c r="B150" s="1" t="n">
        <f aca="false">MAX(1,MIN(6,INT(A150/tier_step_building)))</f>
        <v>2</v>
      </c>
      <c r="C150" s="1" t="n">
        <f aca="false">ROUND(role_cap_base*role_cap_growth^(A150-1),0)</f>
        <v>26</v>
      </c>
      <c r="D150" s="1" t="n">
        <f aca="false">1+train_speed_per_level*(A150-1)</f>
        <v>1.32</v>
      </c>
      <c r="E150" s="1" t="n">
        <f aca="false">IF(A150=1,0,ROUND(cost_role_stone*cost_coef_hunt_path*cost_growth^(A150-2)*IF(A150&lt;=4,stage_early,IF(A150&lt;=stage_mid_level,stage_mid,IF(A150&lt;=stage_late_level,stage_normal,stage_late))),0))</f>
        <v>356</v>
      </c>
      <c r="F150" s="1" t="n">
        <f aca="false">IF(A150=1,0,ROUND(cost_role_bone*cost_coef_hunt_path*cost_growth^(A150-2)*IF(A150&lt;=4,stage_early,IF(A150&lt;=stage_mid_level,stage_mid,IF(A150&lt;=stage_late_level,stage_normal,stage_late))),0))</f>
        <v>178</v>
      </c>
      <c r="G150" s="1" t="n">
        <f aca="false">IF(A150=1,0,ROUND(cost_role_hide*cost_coef_hunt_path*cost_growth^(A150-2)*IF(A150&lt;=4,stage_early,IF(A150&lt;=stage_mid_level,stage_mid,IF(A150&lt;=stage_late_level,stage_normal,stage_late))),0))</f>
        <v>296</v>
      </c>
      <c r="H150" s="1" t="n">
        <f aca="false">IF(A150=1,0,ROUND(build_time_base_min*time_coef_hunt_path*time_growth^(A150-2)*IF(A150&lt;=4,stage_early,IF(A150&lt;=stage_mid_level,stage_mid,IF(A150&lt;=stage_late_level,stage_normal,stage_late)))/60,1))</f>
        <v>0.4</v>
      </c>
    </row>
    <row r="151" customFormat="false" ht="15" hidden="false" customHeight="false" outlineLevel="0" collapsed="false">
      <c r="A151" s="1" t="n">
        <v>10</v>
      </c>
      <c r="B151" s="1" t="n">
        <f aca="false">MAX(1,MIN(6,INT(A151/tier_step_building)))</f>
        <v>2</v>
      </c>
      <c r="C151" s="1" t="n">
        <f aca="false">ROUND(role_cap_base*role_cap_growth^(A151-1),0)</f>
        <v>31</v>
      </c>
      <c r="D151" s="1" t="n">
        <f aca="false">1+train_speed_per_level*(A151-1)</f>
        <v>1.36</v>
      </c>
      <c r="E151" s="1" t="n">
        <f aca="false">IF(A151=1,0,ROUND(cost_role_stone*cost_coef_hunt_path*cost_growth^(A151-2)*IF(A151&lt;=4,stage_early,IF(A151&lt;=stage_mid_level,stage_mid,IF(A151&lt;=stage_late_level,stage_normal,stage_late))),0))</f>
        <v>463</v>
      </c>
      <c r="F151" s="1" t="n">
        <f aca="false">IF(A151=1,0,ROUND(cost_role_bone*cost_coef_hunt_path*cost_growth^(A151-2)*IF(A151&lt;=4,stage_early,IF(A151&lt;=stage_mid_level,stage_mid,IF(A151&lt;=stage_late_level,stage_normal,stage_late))),0))</f>
        <v>231</v>
      </c>
      <c r="G151" s="1" t="n">
        <f aca="false">IF(A151=1,0,ROUND(cost_role_hide*cost_coef_hunt_path*cost_growth^(A151-2)*IF(A151&lt;=4,stage_early,IF(A151&lt;=stage_mid_level,stage_mid,IF(A151&lt;=stage_late_level,stage_normal,stage_late))),0))</f>
        <v>385</v>
      </c>
      <c r="H151" s="1" t="n">
        <f aca="false">IF(A151=1,0,ROUND(build_time_base_min*time_coef_hunt_path*time_growth^(A151-2)*IF(A151&lt;=4,stage_early,IF(A151&lt;=stage_mid_level,stage_mid,IF(A151&lt;=stage_late_level,stage_normal,stage_late)))/60,1))</f>
        <v>0.5</v>
      </c>
    </row>
    <row r="152" customFormat="false" ht="15" hidden="false" customHeight="false" outlineLevel="0" collapsed="false">
      <c r="A152" s="1" t="n">
        <v>11</v>
      </c>
      <c r="B152" s="1" t="n">
        <f aca="false">MAX(1,MIN(6,INT(A152/tier_step_building)))</f>
        <v>2</v>
      </c>
      <c r="C152" s="1" t="n">
        <f aca="false">ROUND(role_cap_base*role_cap_growth^(A152-1),0)</f>
        <v>37</v>
      </c>
      <c r="D152" s="1" t="n">
        <f aca="false">1+train_speed_per_level*(A152-1)</f>
        <v>1.4</v>
      </c>
      <c r="E152" s="1" t="n">
        <f aca="false">IF(A152=1,0,ROUND(cost_role_stone*cost_coef_hunt_path*cost_growth^(A152-2)*IF(A152&lt;=4,stage_early,IF(A152&lt;=stage_mid_level,stage_mid,IF(A152&lt;=stage_late_level,stage_normal,stage_late))),0))</f>
        <v>859</v>
      </c>
      <c r="F152" s="1" t="n">
        <f aca="false">IF(A152=1,0,ROUND(cost_role_bone*cost_coef_hunt_path*cost_growth^(A152-2)*IF(A152&lt;=4,stage_early,IF(A152&lt;=stage_mid_level,stage_mid,IF(A152&lt;=stage_late_level,stage_normal,stage_late))),0))</f>
        <v>429</v>
      </c>
      <c r="G152" s="1" t="n">
        <f aca="false">IF(A152=1,0,ROUND(cost_role_hide*cost_coef_hunt_path*cost_growth^(A152-2)*IF(A152&lt;=4,stage_early,IF(A152&lt;=stage_mid_level,stage_mid,IF(A152&lt;=stage_late_level,stage_normal,stage_late))),0))</f>
        <v>716</v>
      </c>
      <c r="H152" s="1" t="n">
        <f aca="false">IF(A152=1,0,ROUND(build_time_base_min*time_coef_hunt_path*time_growth^(A152-2)*IF(A152&lt;=4,stage_early,IF(A152&lt;=stage_mid_level,stage_mid,IF(A152&lt;=stage_late_level,stage_normal,stage_late)))/60,1))</f>
        <v>0.9</v>
      </c>
    </row>
    <row r="153" customFormat="false" ht="15" hidden="false" customHeight="false" outlineLevel="0" collapsed="false">
      <c r="A153" s="1" t="n">
        <v>12</v>
      </c>
      <c r="B153" s="1" t="n">
        <f aca="false">MAX(1,MIN(6,INT(A153/tier_step_building)))</f>
        <v>3</v>
      </c>
      <c r="C153" s="1" t="n">
        <f aca="false">ROUND(role_cap_base*role_cap_growth^(A153-1),0)</f>
        <v>45</v>
      </c>
      <c r="D153" s="1" t="n">
        <f aca="false">1+train_speed_per_level*(A153-1)</f>
        <v>1.44</v>
      </c>
      <c r="E153" s="1" t="n">
        <f aca="false">IF(A153=1,0,ROUND(cost_role_stone*cost_coef_hunt_path*cost_growth^(A153-2)*IF(A153&lt;=4,stage_early,IF(A153&lt;=stage_mid_level,stage_mid,IF(A153&lt;=stage_late_level,stage_normal,stage_late))),0))</f>
        <v>1117</v>
      </c>
      <c r="F153" s="1" t="n">
        <f aca="false">IF(A153=1,0,ROUND(cost_role_bone*cost_coef_hunt_path*cost_growth^(A153-2)*IF(A153&lt;=4,stage_early,IF(A153&lt;=stage_mid_level,stage_mid,IF(A153&lt;=stage_late_level,stage_normal,stage_late))),0))</f>
        <v>558</v>
      </c>
      <c r="G153" s="1" t="n">
        <f aca="false">IF(A153=1,0,ROUND(cost_role_hide*cost_coef_hunt_path*cost_growth^(A153-2)*IF(A153&lt;=4,stage_early,IF(A153&lt;=stage_mid_level,stage_mid,IF(A153&lt;=stage_late_level,stage_normal,stage_late))),0))</f>
        <v>931</v>
      </c>
      <c r="H153" s="1" t="n">
        <f aca="false">IF(A153=1,0,ROUND(build_time_base_min*time_coef_hunt_path*time_growth^(A153-2)*IF(A153&lt;=4,stage_early,IF(A153&lt;=stage_mid_level,stage_mid,IF(A153&lt;=stage_late_level,stage_normal,stage_late)))/60,1))</f>
        <v>1.1</v>
      </c>
    </row>
    <row r="154" customFormat="false" ht="15" hidden="false" customHeight="false" outlineLevel="0" collapsed="false">
      <c r="A154" s="1" t="n">
        <v>13</v>
      </c>
      <c r="B154" s="1" t="n">
        <f aca="false">MAX(1,MIN(6,INT(A154/tier_step_building)))</f>
        <v>3</v>
      </c>
      <c r="C154" s="1" t="n">
        <f aca="false">ROUND(role_cap_base*role_cap_growth^(A154-1),0)</f>
        <v>53</v>
      </c>
      <c r="D154" s="1" t="n">
        <f aca="false">1+train_speed_per_level*(A154-1)</f>
        <v>1.48</v>
      </c>
      <c r="E154" s="1" t="n">
        <f aca="false">IF(A154=1,0,ROUND(cost_role_stone*cost_coef_hunt_path*cost_growth^(A154-2)*IF(A154&lt;=4,stage_early,IF(A154&lt;=stage_mid_level,stage_mid,IF(A154&lt;=stage_late_level,stage_normal,stage_late))),0))</f>
        <v>1452</v>
      </c>
      <c r="F154" s="1" t="n">
        <f aca="false">IF(A154=1,0,ROUND(cost_role_bone*cost_coef_hunt_path*cost_growth^(A154-2)*IF(A154&lt;=4,stage_early,IF(A154&lt;=stage_mid_level,stage_mid,IF(A154&lt;=stage_late_level,stage_normal,stage_late))),0))</f>
        <v>726</v>
      </c>
      <c r="G154" s="1" t="n">
        <f aca="false">IF(A154=1,0,ROUND(cost_role_hide*cost_coef_hunt_path*cost_growth^(A154-2)*IF(A154&lt;=4,stage_early,IF(A154&lt;=stage_mid_level,stage_mid,IF(A154&lt;=stage_late_level,stage_normal,stage_late))),0))</f>
        <v>1210</v>
      </c>
      <c r="H154" s="1" t="n">
        <f aca="false">IF(A154=1,0,ROUND(build_time_base_min*time_coef_hunt_path*time_growth^(A154-2)*IF(A154&lt;=4,stage_early,IF(A154&lt;=stage_mid_level,stage_mid,IF(A154&lt;=stage_late_level,stage_normal,stage_late)))/60,1))</f>
        <v>1.4</v>
      </c>
    </row>
    <row r="155" customFormat="false" ht="15" hidden="false" customHeight="false" outlineLevel="0" collapsed="false">
      <c r="A155" s="1" t="n">
        <v>14</v>
      </c>
      <c r="B155" s="1" t="n">
        <f aca="false">MAX(1,MIN(6,INT(A155/tier_step_building)))</f>
        <v>3</v>
      </c>
      <c r="C155" s="1" t="n">
        <f aca="false">ROUND(role_cap_base*role_cap_growth^(A155-1),0)</f>
        <v>64</v>
      </c>
      <c r="D155" s="1" t="n">
        <f aca="false">1+train_speed_per_level*(A155-1)</f>
        <v>1.52</v>
      </c>
      <c r="E155" s="1" t="n">
        <f aca="false">IF(A155=1,0,ROUND(cost_role_stone*cost_coef_hunt_path*cost_growth^(A155-2)*IF(A155&lt;=4,stage_early,IF(A155&lt;=stage_mid_level,stage_mid,IF(A155&lt;=stage_late_level,stage_normal,stage_late))),0))</f>
        <v>1887</v>
      </c>
      <c r="F155" s="1" t="n">
        <f aca="false">IF(A155=1,0,ROUND(cost_role_bone*cost_coef_hunt_path*cost_growth^(A155-2)*IF(A155&lt;=4,stage_early,IF(A155&lt;=stage_mid_level,stage_mid,IF(A155&lt;=stage_late_level,stage_normal,stage_late))),0))</f>
        <v>944</v>
      </c>
      <c r="G155" s="1" t="n">
        <f aca="false">IF(A155=1,0,ROUND(cost_role_hide*cost_coef_hunt_path*cost_growth^(A155-2)*IF(A155&lt;=4,stage_early,IF(A155&lt;=stage_mid_level,stage_mid,IF(A155&lt;=stage_late_level,stage_normal,stage_late))),0))</f>
        <v>1573</v>
      </c>
      <c r="H155" s="1" t="n">
        <f aca="false">IF(A155=1,0,ROUND(build_time_base_min*time_coef_hunt_path*time_growth^(A155-2)*IF(A155&lt;=4,stage_early,IF(A155&lt;=stage_mid_level,stage_mid,IF(A155&lt;=stage_late_level,stage_normal,stage_late)))/60,1))</f>
        <v>1.7</v>
      </c>
    </row>
    <row r="156" customFormat="false" ht="15" hidden="false" customHeight="false" outlineLevel="0" collapsed="false">
      <c r="A156" s="1" t="n">
        <v>15</v>
      </c>
      <c r="B156" s="1" t="n">
        <f aca="false">MAX(1,MIN(6,INT(A156/tier_step_building)))</f>
        <v>3</v>
      </c>
      <c r="C156" s="1" t="n">
        <f aca="false">ROUND(role_cap_base*role_cap_growth^(A156-1),0)</f>
        <v>77</v>
      </c>
      <c r="D156" s="1" t="n">
        <f aca="false">1+train_speed_per_level*(A156-1)</f>
        <v>1.56</v>
      </c>
      <c r="E156" s="1" t="n">
        <f aca="false">IF(A156=1,0,ROUND(cost_role_stone*cost_coef_hunt_path*cost_growth^(A156-2)*IF(A156&lt;=4,stage_early,IF(A156&lt;=stage_mid_level,stage_mid,IF(A156&lt;=stage_late_level,stage_normal,stage_late))),0))</f>
        <v>2453</v>
      </c>
      <c r="F156" s="1" t="n">
        <f aca="false">IF(A156=1,0,ROUND(cost_role_bone*cost_coef_hunt_path*cost_growth^(A156-2)*IF(A156&lt;=4,stage_early,IF(A156&lt;=stage_mid_level,stage_mid,IF(A156&lt;=stage_late_level,stage_normal,stage_late))),0))</f>
        <v>1227</v>
      </c>
      <c r="G156" s="1" t="n">
        <f aca="false">IF(A156=1,0,ROUND(cost_role_hide*cost_coef_hunt_path*cost_growth^(A156-2)*IF(A156&lt;=4,stage_early,IF(A156&lt;=stage_mid_level,stage_mid,IF(A156&lt;=stage_late_level,stage_normal,stage_late))),0))</f>
        <v>2044</v>
      </c>
      <c r="H156" s="1" t="n">
        <f aca="false">IF(A156=1,0,ROUND(build_time_base_min*time_coef_hunt_path*time_growth^(A156-2)*IF(A156&lt;=4,stage_early,IF(A156&lt;=stage_mid_level,stage_mid,IF(A156&lt;=stage_late_level,stage_normal,stage_late)))/60,1))</f>
        <v>2.1</v>
      </c>
    </row>
    <row r="157" customFormat="false" ht="15" hidden="false" customHeight="false" outlineLevel="0" collapsed="false">
      <c r="A157" s="1" t="n">
        <v>16</v>
      </c>
      <c r="B157" s="1" t="n">
        <f aca="false">MAX(1,MIN(6,INT(A157/tier_step_building)))</f>
        <v>4</v>
      </c>
      <c r="C157" s="1" t="n">
        <f aca="false">ROUND(role_cap_base*role_cap_growth^(A157-1),0)</f>
        <v>92</v>
      </c>
      <c r="D157" s="1" t="n">
        <f aca="false">1+train_speed_per_level*(A157-1)</f>
        <v>1.6</v>
      </c>
      <c r="E157" s="1" t="n">
        <f aca="false">IF(A157=1,0,ROUND(cost_role_stone*cost_coef_hunt_path*cost_growth^(A157-2)*IF(A157&lt;=4,stage_early,IF(A157&lt;=stage_mid_level,stage_mid,IF(A157&lt;=stage_late_level,stage_normal,stage_late))),0))</f>
        <v>3987</v>
      </c>
      <c r="F157" s="1" t="n">
        <f aca="false">IF(A157=1,0,ROUND(cost_role_bone*cost_coef_hunt_path*cost_growth^(A157-2)*IF(A157&lt;=4,stage_early,IF(A157&lt;=stage_mid_level,stage_mid,IF(A157&lt;=stage_late_level,stage_normal,stage_late))),0))</f>
        <v>1993</v>
      </c>
      <c r="G157" s="1" t="n">
        <f aca="false">IF(A157=1,0,ROUND(cost_role_hide*cost_coef_hunt_path*cost_growth^(A157-2)*IF(A157&lt;=4,stage_early,IF(A157&lt;=stage_mid_level,stage_mid,IF(A157&lt;=stage_late_level,stage_normal,stage_late))),0))</f>
        <v>3322</v>
      </c>
      <c r="H157" s="1" t="n">
        <f aca="false">IF(A157=1,0,ROUND(build_time_base_min*time_coef_hunt_path*time_growth^(A157-2)*IF(A157&lt;=4,stage_early,IF(A157&lt;=stage_mid_level,stage_mid,IF(A157&lt;=stage_late_level,stage_normal,stage_late)))/60,1))</f>
        <v>3.3</v>
      </c>
    </row>
    <row r="158" customFormat="false" ht="15" hidden="false" customHeight="false" outlineLevel="0" collapsed="false">
      <c r="A158" s="1" t="n">
        <v>17</v>
      </c>
      <c r="B158" s="1" t="n">
        <f aca="false">MAX(1,MIN(6,INT(A158/tier_step_building)))</f>
        <v>4</v>
      </c>
      <c r="C158" s="1" t="n">
        <f aca="false">ROUND(role_cap_base*role_cap_growth^(A158-1),0)</f>
        <v>111</v>
      </c>
      <c r="D158" s="1" t="n">
        <f aca="false">1+train_speed_per_level*(A158-1)</f>
        <v>1.64</v>
      </c>
      <c r="E158" s="1" t="n">
        <f aca="false">IF(A158=1,0,ROUND(cost_role_stone*cost_coef_hunt_path*cost_growth^(A158-2)*IF(A158&lt;=4,stage_early,IF(A158&lt;=stage_mid_level,stage_mid,IF(A158&lt;=stage_late_level,stage_normal,stage_late))),0))</f>
        <v>5183</v>
      </c>
      <c r="F158" s="1" t="n">
        <f aca="false">IF(A158=1,0,ROUND(cost_role_bone*cost_coef_hunt_path*cost_growth^(A158-2)*IF(A158&lt;=4,stage_early,IF(A158&lt;=stage_mid_level,stage_mid,IF(A158&lt;=stage_late_level,stage_normal,stage_late))),0))</f>
        <v>2591</v>
      </c>
      <c r="G158" s="1" t="n">
        <f aca="false">IF(A158=1,0,ROUND(cost_role_hide*cost_coef_hunt_path*cost_growth^(A158-2)*IF(A158&lt;=4,stage_early,IF(A158&lt;=stage_mid_level,stage_mid,IF(A158&lt;=stage_late_level,stage_normal,stage_late))),0))</f>
        <v>4319</v>
      </c>
      <c r="H158" s="1" t="n">
        <f aca="false">IF(A158=1,0,ROUND(build_time_base_min*time_coef_hunt_path*time_growth^(A158-2)*IF(A158&lt;=4,stage_early,IF(A158&lt;=stage_mid_level,stage_mid,IF(A158&lt;=stage_late_level,stage_normal,stage_late)))/60,1))</f>
        <v>4.1</v>
      </c>
    </row>
    <row r="159" customFormat="false" ht="15" hidden="false" customHeight="false" outlineLevel="0" collapsed="false">
      <c r="A159" s="1" t="n">
        <v>18</v>
      </c>
      <c r="B159" s="1" t="n">
        <f aca="false">MAX(1,MIN(6,INT(A159/tier_step_building)))</f>
        <v>4</v>
      </c>
      <c r="C159" s="1" t="n">
        <f aca="false">ROUND(role_cap_base*role_cap_growth^(A159-1),0)</f>
        <v>133</v>
      </c>
      <c r="D159" s="1" t="n">
        <f aca="false">1+train_speed_per_level*(A159-1)</f>
        <v>1.68</v>
      </c>
      <c r="E159" s="1" t="n">
        <f aca="false">IF(A159=1,0,ROUND(cost_role_stone*cost_coef_hunt_path*cost_growth^(A159-2)*IF(A159&lt;=4,stage_early,IF(A159&lt;=stage_mid_level,stage_mid,IF(A159&lt;=stage_late_level,stage_normal,stage_late))),0))</f>
        <v>6737</v>
      </c>
      <c r="F159" s="1" t="n">
        <f aca="false">IF(A159=1,0,ROUND(cost_role_bone*cost_coef_hunt_path*cost_growth^(A159-2)*IF(A159&lt;=4,stage_early,IF(A159&lt;=stage_mid_level,stage_mid,IF(A159&lt;=stage_late_level,stage_normal,stage_late))),0))</f>
        <v>3369</v>
      </c>
      <c r="G159" s="1" t="n">
        <f aca="false">IF(A159=1,0,ROUND(cost_role_hide*cost_coef_hunt_path*cost_growth^(A159-2)*IF(A159&lt;=4,stage_early,IF(A159&lt;=stage_mid_level,stage_mid,IF(A159&lt;=stage_late_level,stage_normal,stage_late))),0))</f>
        <v>5614</v>
      </c>
      <c r="H159" s="1" t="n">
        <f aca="false">IF(A159=1,0,ROUND(build_time_base_min*time_coef_hunt_path*time_growth^(A159-2)*IF(A159&lt;=4,stage_early,IF(A159&lt;=stage_mid_level,stage_mid,IF(A159&lt;=stage_late_level,stage_normal,stage_late)))/60,1))</f>
        <v>5.2</v>
      </c>
    </row>
    <row r="160" customFormat="false" ht="15" hidden="false" customHeight="false" outlineLevel="0" collapsed="false">
      <c r="A160" s="1" t="n">
        <v>19</v>
      </c>
      <c r="B160" s="1" t="n">
        <f aca="false">MAX(1,MIN(6,INT(A160/tier_step_building)))</f>
        <v>4</v>
      </c>
      <c r="C160" s="1" t="n">
        <f aca="false">ROUND(role_cap_base*role_cap_growth^(A160-1),0)</f>
        <v>160</v>
      </c>
      <c r="D160" s="1" t="n">
        <f aca="false">1+train_speed_per_level*(A160-1)</f>
        <v>1.72</v>
      </c>
      <c r="E160" s="1" t="n">
        <f aca="false">IF(A160=1,0,ROUND(cost_role_stone*cost_coef_hunt_path*cost_growth^(A160-2)*IF(A160&lt;=4,stage_early,IF(A160&lt;=stage_mid_level,stage_mid,IF(A160&lt;=stage_late_level,stage_normal,stage_late))),0))</f>
        <v>8759</v>
      </c>
      <c r="F160" s="1" t="n">
        <f aca="false">IF(A160=1,0,ROUND(cost_role_bone*cost_coef_hunt_path*cost_growth^(A160-2)*IF(A160&lt;=4,stage_early,IF(A160&lt;=stage_mid_level,stage_mid,IF(A160&lt;=stage_late_level,stage_normal,stage_late))),0))</f>
        <v>4379</v>
      </c>
      <c r="G160" s="1" t="n">
        <f aca="false">IF(A160=1,0,ROUND(cost_role_hide*cost_coef_hunt_path*cost_growth^(A160-2)*IF(A160&lt;=4,stage_early,IF(A160&lt;=stage_mid_level,stage_mid,IF(A160&lt;=stage_late_level,stage_normal,stage_late))),0))</f>
        <v>7299</v>
      </c>
      <c r="H160" s="1" t="n">
        <f aca="false">IF(A160=1,0,ROUND(build_time_base_min*time_coef_hunt_path*time_growth^(A160-2)*IF(A160&lt;=4,stage_early,IF(A160&lt;=stage_mid_level,stage_mid,IF(A160&lt;=stage_late_level,stage_normal,stage_late)))/60,1))</f>
        <v>6.5</v>
      </c>
    </row>
    <row r="161" customFormat="false" ht="15" hidden="false" customHeight="false" outlineLevel="0" collapsed="false">
      <c r="A161" s="1" t="n">
        <v>20</v>
      </c>
      <c r="B161" s="1" t="n">
        <f aca="false">MAX(1,MIN(6,INT(A161/tier_step_building)))</f>
        <v>5</v>
      </c>
      <c r="C161" s="1" t="n">
        <f aca="false">ROUND(role_cap_base*role_cap_growth^(A161-1),0)</f>
        <v>192</v>
      </c>
      <c r="D161" s="1" t="n">
        <f aca="false">1+train_speed_per_level*(A161-1)</f>
        <v>1.76</v>
      </c>
      <c r="E161" s="1" t="n">
        <f aca="false">IF(A161=1,0,ROUND(cost_role_stone*cost_coef_hunt_path*cost_growth^(A161-2)*IF(A161&lt;=4,stage_early,IF(A161&lt;=stage_mid_level,stage_mid,IF(A161&lt;=stage_late_level,stage_normal,stage_late))),0))</f>
        <v>11386</v>
      </c>
      <c r="F161" s="1" t="n">
        <f aca="false">IF(A161=1,0,ROUND(cost_role_bone*cost_coef_hunt_path*cost_growth^(A161-2)*IF(A161&lt;=4,stage_early,IF(A161&lt;=stage_mid_level,stage_mid,IF(A161&lt;=stage_late_level,stage_normal,stage_late))),0))</f>
        <v>5693</v>
      </c>
      <c r="G161" s="1" t="n">
        <f aca="false">IF(A161=1,0,ROUND(cost_role_hide*cost_coef_hunt_path*cost_growth^(A161-2)*IF(A161&lt;=4,stage_early,IF(A161&lt;=stage_mid_level,stage_mid,IF(A161&lt;=stage_late_level,stage_normal,stage_late))),0))</f>
        <v>9488</v>
      </c>
      <c r="H161" s="1" t="n">
        <f aca="false">IF(A161=1,0,ROUND(build_time_base_min*time_coef_hunt_path*time_growth^(A161-2)*IF(A161&lt;=4,stage_early,IF(A161&lt;=stage_mid_level,stage_mid,IF(A161&lt;=stage_late_level,stage_normal,stage_late)))/60,1))</f>
        <v>8.1</v>
      </c>
    </row>
    <row r="162" customFormat="false" ht="15" hidden="false" customHeight="false" outlineLevel="0" collapsed="false">
      <c r="A162" s="1" t="n">
        <v>21</v>
      </c>
      <c r="B162" s="1" t="n">
        <f aca="false">MAX(1,MIN(6,INT(A162/tier_step_building)))</f>
        <v>5</v>
      </c>
      <c r="C162" s="1" t="n">
        <f aca="false">ROUND(role_cap_base*role_cap_growth^(A162-1),0)</f>
        <v>230</v>
      </c>
      <c r="D162" s="1" t="n">
        <f aca="false">1+train_speed_per_level*(A162-1)</f>
        <v>1.8</v>
      </c>
      <c r="E162" s="1" t="n">
        <f aca="false">IF(A162=1,0,ROUND(cost_role_stone*cost_coef_hunt_path*cost_growth^(A162-2)*IF(A162&lt;=4,stage_early,IF(A162&lt;=stage_mid_level,stage_mid,IF(A162&lt;=stage_late_level,stage_normal,stage_late))),0))</f>
        <v>14802</v>
      </c>
      <c r="F162" s="1" t="n">
        <f aca="false">IF(A162=1,0,ROUND(cost_role_bone*cost_coef_hunt_path*cost_growth^(A162-2)*IF(A162&lt;=4,stage_early,IF(A162&lt;=stage_mid_level,stage_mid,IF(A162&lt;=stage_late_level,stage_normal,stage_late))),0))</f>
        <v>7401</v>
      </c>
      <c r="G162" s="1" t="n">
        <f aca="false">IF(A162=1,0,ROUND(cost_role_hide*cost_coef_hunt_path*cost_growth^(A162-2)*IF(A162&lt;=4,stage_early,IF(A162&lt;=stage_mid_level,stage_mid,IF(A162&lt;=stage_late_level,stage_normal,stage_late))),0))</f>
        <v>12335</v>
      </c>
      <c r="H162" s="1" t="n">
        <f aca="false">IF(A162=1,0,ROUND(build_time_base_min*time_coef_hunt_path*time_growth^(A162-2)*IF(A162&lt;=4,stage_early,IF(A162&lt;=stage_mid_level,stage_mid,IF(A162&lt;=stage_late_level,stage_normal,stage_late)))/60,1))</f>
        <v>10.1</v>
      </c>
    </row>
    <row r="163" customFormat="false" ht="15" hidden="false" customHeight="false" outlineLevel="0" collapsed="false">
      <c r="A163" s="1" t="n">
        <v>22</v>
      </c>
      <c r="B163" s="1" t="n">
        <f aca="false">MAX(1,MIN(6,INT(A163/tier_step_building)))</f>
        <v>5</v>
      </c>
      <c r="C163" s="1" t="n">
        <f aca="false">ROUND(role_cap_base*role_cap_growth^(A163-1),0)</f>
        <v>276</v>
      </c>
      <c r="D163" s="1" t="n">
        <f aca="false">1+train_speed_per_level*(A163-1)</f>
        <v>1.84</v>
      </c>
      <c r="E163" s="1" t="n">
        <f aca="false">IF(A163=1,0,ROUND(cost_role_stone*cost_coef_hunt_path*cost_growth^(A163-2)*IF(A163&lt;=4,stage_early,IF(A163&lt;=stage_mid_level,stage_mid,IF(A163&lt;=stage_late_level,stage_normal,stage_late))),0))</f>
        <v>19243</v>
      </c>
      <c r="F163" s="1" t="n">
        <f aca="false">IF(A163=1,0,ROUND(cost_role_bone*cost_coef_hunt_path*cost_growth^(A163-2)*IF(A163&lt;=4,stage_early,IF(A163&lt;=stage_mid_level,stage_mid,IF(A163&lt;=stage_late_level,stage_normal,stage_late))),0))</f>
        <v>9621</v>
      </c>
      <c r="G163" s="1" t="n">
        <f aca="false">IF(A163=1,0,ROUND(cost_role_hide*cost_coef_hunt_path*cost_growth^(A163-2)*IF(A163&lt;=4,stage_early,IF(A163&lt;=stage_mid_level,stage_mid,IF(A163&lt;=stage_late_level,stage_normal,stage_late))),0))</f>
        <v>16035</v>
      </c>
      <c r="H163" s="1" t="n">
        <f aca="false">IF(A163=1,0,ROUND(build_time_base_min*time_coef_hunt_path*time_growth^(A163-2)*IF(A163&lt;=4,stage_early,IF(A163&lt;=stage_mid_level,stage_mid,IF(A163&lt;=stage_late_level,stage_normal,stage_late)))/60,1))</f>
        <v>12.6</v>
      </c>
    </row>
    <row r="164" customFormat="false" ht="15" hidden="false" customHeight="false" outlineLevel="0" collapsed="false">
      <c r="A164" s="1" t="n">
        <v>23</v>
      </c>
      <c r="B164" s="1" t="n">
        <f aca="false">MAX(1,MIN(6,INT(A164/tier_step_building)))</f>
        <v>5</v>
      </c>
      <c r="C164" s="1" t="n">
        <f aca="false">ROUND(role_cap_base*role_cap_growth^(A164-1),0)</f>
        <v>331</v>
      </c>
      <c r="D164" s="1" t="n">
        <f aca="false">1+train_speed_per_level*(A164-1)</f>
        <v>1.88</v>
      </c>
      <c r="E164" s="1" t="n">
        <f aca="false">IF(A164=1,0,ROUND(cost_role_stone*cost_coef_hunt_path*cost_growth^(A164-2)*IF(A164&lt;=4,stage_early,IF(A164&lt;=stage_mid_level,stage_mid,IF(A164&lt;=stage_late_level,stage_normal,stage_late))),0))</f>
        <v>25015</v>
      </c>
      <c r="F164" s="1" t="n">
        <f aca="false">IF(A164=1,0,ROUND(cost_role_bone*cost_coef_hunt_path*cost_growth^(A164-2)*IF(A164&lt;=4,stage_early,IF(A164&lt;=stage_mid_level,stage_mid,IF(A164&lt;=stage_late_level,stage_normal,stage_late))),0))</f>
        <v>12508</v>
      </c>
      <c r="G164" s="1" t="n">
        <f aca="false">IF(A164=1,0,ROUND(cost_role_hide*cost_coef_hunt_path*cost_growth^(A164-2)*IF(A164&lt;=4,stage_early,IF(A164&lt;=stage_mid_level,stage_mid,IF(A164&lt;=stage_late_level,stage_normal,stage_late))),0))</f>
        <v>20846</v>
      </c>
      <c r="H164" s="1" t="n">
        <f aca="false">IF(A164=1,0,ROUND(build_time_base_min*time_coef_hunt_path*time_growth^(A164-2)*IF(A164&lt;=4,stage_early,IF(A164&lt;=stage_mid_level,stage_mid,IF(A164&lt;=stage_late_level,stage_normal,stage_late)))/60,1))</f>
        <v>15.8</v>
      </c>
    </row>
    <row r="165" customFormat="false" ht="15" hidden="false" customHeight="false" outlineLevel="0" collapsed="false">
      <c r="A165" s="1" t="n">
        <v>24</v>
      </c>
      <c r="B165" s="1" t="n">
        <f aca="false">MAX(1,MIN(6,INT(A165/tier_step_building)))</f>
        <v>6</v>
      </c>
      <c r="C165" s="1" t="n">
        <f aca="false">ROUND(role_cap_base*role_cap_growth^(A165-1),0)</f>
        <v>397</v>
      </c>
      <c r="D165" s="1" t="n">
        <f aca="false">1+train_speed_per_level*(A165-1)</f>
        <v>1.92</v>
      </c>
      <c r="E165" s="1" t="n">
        <f aca="false">IF(A165=1,0,ROUND(cost_role_stone*cost_coef_hunt_path*cost_growth^(A165-2)*IF(A165&lt;=4,stage_early,IF(A165&lt;=stage_mid_level,stage_mid,IF(A165&lt;=stage_late_level,stage_normal,stage_late))),0))</f>
        <v>32520</v>
      </c>
      <c r="F165" s="1" t="n">
        <f aca="false">IF(A165=1,0,ROUND(cost_role_bone*cost_coef_hunt_path*cost_growth^(A165-2)*IF(A165&lt;=4,stage_early,IF(A165&lt;=stage_mid_level,stage_mid,IF(A165&lt;=stage_late_level,stage_normal,stage_late))),0))</f>
        <v>16260</v>
      </c>
      <c r="G165" s="1" t="n">
        <f aca="false">IF(A165=1,0,ROUND(cost_role_hide*cost_coef_hunt_path*cost_growth^(A165-2)*IF(A165&lt;=4,stage_early,IF(A165&lt;=stage_mid_level,stage_mid,IF(A165&lt;=stage_late_level,stage_normal,stage_late))),0))</f>
        <v>27100</v>
      </c>
      <c r="H165" s="1" t="n">
        <f aca="false">IF(A165=1,0,ROUND(build_time_base_min*time_coef_hunt_path*time_growth^(A165-2)*IF(A165&lt;=4,stage_early,IF(A165&lt;=stage_mid_level,stage_mid,IF(A165&lt;=stage_late_level,stage_normal,stage_late)))/60,1))</f>
        <v>19.8</v>
      </c>
    </row>
    <row r="166" customFormat="false" ht="15" hidden="false" customHeight="false" outlineLevel="0" collapsed="false">
      <c r="A166" s="1" t="n">
        <v>25</v>
      </c>
      <c r="B166" s="1" t="n">
        <f aca="false">MAX(1,MIN(6,INT(A166/tier_step_building)))</f>
        <v>6</v>
      </c>
      <c r="C166" s="1" t="n">
        <f aca="false">ROUND(role_cap_base*role_cap_growth^(A166-1),0)</f>
        <v>477</v>
      </c>
      <c r="D166" s="1" t="n">
        <f aca="false">1+train_speed_per_level*(A166-1)</f>
        <v>1.96</v>
      </c>
      <c r="E166" s="1" t="n">
        <f aca="false">IF(A166=1,0,ROUND(cost_role_stone*cost_coef_hunt_path*cost_growth^(A166-2)*IF(A166&lt;=4,stage_early,IF(A166&lt;=stage_mid_level,stage_mid,IF(A166&lt;=stage_late_level,stage_normal,stage_late))),0))</f>
        <v>42276</v>
      </c>
      <c r="F166" s="1" t="n">
        <f aca="false">IF(A166=1,0,ROUND(cost_role_bone*cost_coef_hunt_path*cost_growth^(A166-2)*IF(A166&lt;=4,stage_early,IF(A166&lt;=stage_mid_level,stage_mid,IF(A166&lt;=stage_late_level,stage_normal,stage_late))),0))</f>
        <v>21138</v>
      </c>
      <c r="G166" s="1" t="n">
        <f aca="false">IF(A166=1,0,ROUND(cost_role_hide*cost_coef_hunt_path*cost_growth^(A166-2)*IF(A166&lt;=4,stage_early,IF(A166&lt;=stage_mid_level,stage_mid,IF(A166&lt;=stage_late_level,stage_normal,stage_late))),0))</f>
        <v>35230</v>
      </c>
      <c r="H166" s="1" t="n">
        <f aca="false">IF(A166=1,0,ROUND(build_time_base_min*time_coef_hunt_path*time_growth^(A166-2)*IF(A166&lt;=4,stage_early,IF(A166&lt;=stage_mid_level,stage_mid,IF(A166&lt;=stage_late_level,stage_normal,stage_late)))/60,1))</f>
        <v>24.7</v>
      </c>
    </row>
    <row r="167" customFormat="false" ht="15" hidden="false" customHeight="false" outlineLevel="0" collapsed="false">
      <c r="A167" s="1" t="s">
        <v>155</v>
      </c>
    </row>
    <row r="168" customFormat="false" ht="15" hidden="false" customHeight="false" outlineLevel="0" collapsed="false">
      <c r="A168" s="2" t="s">
        <v>2</v>
      </c>
      <c r="B168" s="2" t="s">
        <v>156</v>
      </c>
      <c r="C168" s="2" t="s">
        <v>157</v>
      </c>
      <c r="D168" s="2" t="s">
        <v>139</v>
      </c>
      <c r="E168" s="2" t="s">
        <v>151</v>
      </c>
      <c r="F168" s="2" t="s">
        <v>138</v>
      </c>
      <c r="G168" s="2" t="s">
        <v>140</v>
      </c>
    </row>
    <row r="169" customFormat="false" ht="15" hidden="false" customHeight="false" outlineLevel="0" collapsed="false">
      <c r="A169" s="1" t="n">
        <v>1</v>
      </c>
      <c r="B169" s="1" t="n">
        <f aca="false">ROUND(hospital_cap_base+hospital_cap_growth*(A169-1),0)</f>
        <v>2</v>
      </c>
      <c r="C169" s="1" t="n">
        <f aca="false">ROUND(heal_time_min/(1+heal_speed_growth*(A169-1)),0)</f>
        <v>60</v>
      </c>
      <c r="D169" s="1" t="n">
        <f aca="false">IF(A169=1,0,ROUND(cost_hospital_wood*1*cost_growth^(A169-2)*IF(A169&lt;=4,stage_early,IF(A169&lt;=stage_mid_level,stage_mid,IF(A169&lt;=stage_late_level,stage_normal,stage_late))),0))</f>
        <v>0</v>
      </c>
      <c r="E169" s="1" t="n">
        <f aca="false">IF(A169=1,0,ROUND(cost_hospital_hide*1*cost_growth^(A169-2)*IF(A169&lt;=4,stage_early,IF(A169&lt;=stage_mid_level,stage_mid,IF(A169&lt;=stage_late_level,stage_normal,stage_late))),0))</f>
        <v>0</v>
      </c>
      <c r="F169" s="1" t="n">
        <f aca="false">IF(A169=1,0,ROUND(cost_hospital_stone*1*cost_growth^(A169-2)*IF(A169&lt;=4,stage_early,IF(A169&lt;=stage_mid_level,stage_mid,IF(A169&lt;=stage_late_level,stage_normal,stage_late))),0))</f>
        <v>0</v>
      </c>
      <c r="G169" s="1" t="n">
        <f aca="false">IF(A169=1,0,ROUND(build_time_base_min*time_coef_hospital*time_growth^(A169-2)*IF(A169&lt;=4,stage_early,IF(A169&lt;=stage_mid_level,stage_mid,IF(A169&lt;=stage_late_level,stage_normal,stage_late)))/60,1))</f>
        <v>0</v>
      </c>
    </row>
    <row r="170" customFormat="false" ht="15" hidden="false" customHeight="false" outlineLevel="0" collapsed="false">
      <c r="A170" s="1" t="n">
        <v>2</v>
      </c>
      <c r="B170" s="1" t="n">
        <f aca="false">ROUND(hospital_cap_base+hospital_cap_growth*(A170-1),0)</f>
        <v>2</v>
      </c>
      <c r="C170" s="1" t="n">
        <f aca="false">ROUND(heal_time_min/(1+heal_speed_growth*(A170-1)),0)</f>
        <v>57</v>
      </c>
      <c r="D170" s="1" t="n">
        <f aca="false">IF(A170=1,0,ROUND(cost_hospital_wood*1*cost_growth^(A170-2)*IF(A170&lt;=4,stage_early,IF(A170&lt;=stage_mid_level,stage_mid,IF(A170&lt;=stage_late_level,stage_normal,stage_late))),0))</f>
        <v>48</v>
      </c>
      <c r="E170" s="1" t="n">
        <f aca="false">IF(A170=1,0,ROUND(cost_hospital_hide*1*cost_growth^(A170-2)*IF(A170&lt;=4,stage_early,IF(A170&lt;=stage_mid_level,stage_mid,IF(A170&lt;=stage_late_level,stage_normal,stage_late))),0))</f>
        <v>40</v>
      </c>
      <c r="F170" s="1" t="n">
        <f aca="false">IF(A170=1,0,ROUND(cost_hospital_stone*1*cost_growth^(A170-2)*IF(A170&lt;=4,stage_early,IF(A170&lt;=stage_mid_level,stage_mid,IF(A170&lt;=stage_late_level,stage_normal,stage_late))),0))</f>
        <v>32</v>
      </c>
      <c r="G170" s="1" t="n">
        <f aca="false">IF(A170=1,0,ROUND(build_time_base_min*time_coef_hospital*time_growth^(A170-2)*IF(A170&lt;=4,stage_early,IF(A170&lt;=stage_mid_level,stage_mid,IF(A170&lt;=stage_late_level,stage_normal,stage_late)))/60,1))</f>
        <v>0.1</v>
      </c>
    </row>
    <row r="171" customFormat="false" ht="15" hidden="false" customHeight="false" outlineLevel="0" collapsed="false">
      <c r="A171" s="1" t="n">
        <v>3</v>
      </c>
      <c r="B171" s="1" t="n">
        <f aca="false">ROUND(hospital_cap_base+hospital_cap_growth*(A171-1),0)</f>
        <v>3</v>
      </c>
      <c r="C171" s="1" t="n">
        <f aca="false">ROUND(heal_time_min/(1+heal_speed_growth*(A171-1)),0)</f>
        <v>55</v>
      </c>
      <c r="D171" s="1" t="n">
        <f aca="false">IF(A171=1,0,ROUND(cost_hospital_wood*1*cost_growth^(A171-2)*IF(A171&lt;=4,stage_early,IF(A171&lt;=stage_mid_level,stage_mid,IF(A171&lt;=stage_late_level,stage_normal,stage_late))),0))</f>
        <v>62</v>
      </c>
      <c r="E171" s="1" t="n">
        <f aca="false">IF(A171=1,0,ROUND(cost_hospital_hide*1*cost_growth^(A171-2)*IF(A171&lt;=4,stage_early,IF(A171&lt;=stage_mid_level,stage_mid,IF(A171&lt;=stage_late_level,stage_normal,stage_late))),0))</f>
        <v>52</v>
      </c>
      <c r="F171" s="1" t="n">
        <f aca="false">IF(A171=1,0,ROUND(cost_hospital_stone*1*cost_growth^(A171-2)*IF(A171&lt;=4,stage_early,IF(A171&lt;=stage_mid_level,stage_mid,IF(A171&lt;=stage_late_level,stage_normal,stage_late))),0))</f>
        <v>42</v>
      </c>
      <c r="G171" s="1" t="n">
        <f aca="false">IF(A171=1,0,ROUND(build_time_base_min*time_coef_hospital*time_growth^(A171-2)*IF(A171&lt;=4,stage_early,IF(A171&lt;=stage_mid_level,stage_mid,IF(A171&lt;=stage_late_level,stage_normal,stage_late)))/60,1))</f>
        <v>0.1</v>
      </c>
    </row>
    <row r="172" customFormat="false" ht="15" hidden="false" customHeight="false" outlineLevel="0" collapsed="false">
      <c r="A172" s="1" t="n">
        <v>4</v>
      </c>
      <c r="B172" s="1" t="n">
        <f aca="false">ROUND(hospital_cap_base+hospital_cap_growth*(A172-1),0)</f>
        <v>3</v>
      </c>
      <c r="C172" s="1" t="n">
        <f aca="false">ROUND(heal_time_min/(1+heal_speed_growth*(A172-1)),0)</f>
        <v>52</v>
      </c>
      <c r="D172" s="1" t="n">
        <f aca="false">IF(A172=1,0,ROUND(cost_hospital_wood*1*cost_growth^(A172-2)*IF(A172&lt;=4,stage_early,IF(A172&lt;=stage_mid_level,stage_mid,IF(A172&lt;=stage_late_level,stage_normal,stage_late))),0))</f>
        <v>81</v>
      </c>
      <c r="E172" s="1" t="n">
        <f aca="false">IF(A172=1,0,ROUND(cost_hospital_hide*1*cost_growth^(A172-2)*IF(A172&lt;=4,stage_early,IF(A172&lt;=stage_mid_level,stage_mid,IF(A172&lt;=stage_late_level,stage_normal,stage_late))),0))</f>
        <v>68</v>
      </c>
      <c r="F172" s="1" t="n">
        <f aca="false">IF(A172=1,0,ROUND(cost_hospital_stone*1*cost_growth^(A172-2)*IF(A172&lt;=4,stage_early,IF(A172&lt;=stage_mid_level,stage_mid,IF(A172&lt;=stage_late_level,stage_normal,stage_late))),0))</f>
        <v>54</v>
      </c>
      <c r="G172" s="1" t="n">
        <f aca="false">IF(A172=1,0,ROUND(build_time_base_min*time_coef_hospital*time_growth^(A172-2)*IF(A172&lt;=4,stage_early,IF(A172&lt;=stage_mid_level,stage_mid,IF(A172&lt;=stage_late_level,stage_normal,stage_late)))/60,1))</f>
        <v>0.1</v>
      </c>
    </row>
    <row r="173" customFormat="false" ht="15" hidden="false" customHeight="false" outlineLevel="0" collapsed="false">
      <c r="A173" s="1" t="n">
        <v>5</v>
      </c>
      <c r="B173" s="1" t="n">
        <f aca="false">ROUND(hospital_cap_base+hospital_cap_growth*(A173-1),0)</f>
        <v>4</v>
      </c>
      <c r="C173" s="1" t="n">
        <f aca="false">ROUND(heal_time_min/(1+heal_speed_growth*(A173-1)),0)</f>
        <v>50</v>
      </c>
      <c r="D173" s="1" t="n">
        <f aca="false">IF(A173=1,0,ROUND(cost_hospital_wood*1*cost_growth^(A173-2)*IF(A173&lt;=4,stage_early,IF(A173&lt;=stage_mid_level,stage_mid,IF(A173&lt;=stage_late_level,stage_normal,stage_late))),0))</f>
        <v>185</v>
      </c>
      <c r="E173" s="1" t="n">
        <f aca="false">IF(A173=1,0,ROUND(cost_hospital_hide*1*cost_growth^(A173-2)*IF(A173&lt;=4,stage_early,IF(A173&lt;=stage_mid_level,stage_mid,IF(A173&lt;=stage_late_level,stage_normal,stage_late))),0))</f>
        <v>154</v>
      </c>
      <c r="F173" s="1" t="n">
        <f aca="false">IF(A173=1,0,ROUND(cost_hospital_stone*1*cost_growth^(A173-2)*IF(A173&lt;=4,stage_early,IF(A173&lt;=stage_mid_level,stage_mid,IF(A173&lt;=stage_late_level,stage_normal,stage_late))),0))</f>
        <v>123</v>
      </c>
      <c r="G173" s="1" t="n">
        <f aca="false">IF(A173=1,0,ROUND(build_time_base_min*time_coef_hospital*time_growth^(A173-2)*IF(A173&lt;=4,stage_early,IF(A173&lt;=stage_mid_level,stage_mid,IF(A173&lt;=stage_late_level,stage_normal,stage_late)))/60,1))</f>
        <v>0.2</v>
      </c>
    </row>
    <row r="174" customFormat="false" ht="15" hidden="false" customHeight="false" outlineLevel="0" collapsed="false">
      <c r="A174" s="1" t="n">
        <v>6</v>
      </c>
      <c r="B174" s="1" t="n">
        <f aca="false">ROUND(hospital_cap_base+hospital_cap_growth*(A174-1),0)</f>
        <v>4</v>
      </c>
      <c r="C174" s="1" t="n">
        <f aca="false">ROUND(heal_time_min/(1+heal_speed_growth*(A174-1)),0)</f>
        <v>48</v>
      </c>
      <c r="D174" s="1" t="n">
        <f aca="false">IF(A174=1,0,ROUND(cost_hospital_wood*1*cost_growth^(A174-2)*IF(A174&lt;=4,stage_early,IF(A174&lt;=stage_mid_level,stage_mid,IF(A174&lt;=stage_late_level,stage_normal,stage_late))),0))</f>
        <v>240</v>
      </c>
      <c r="E174" s="1" t="n">
        <f aca="false">IF(A174=1,0,ROUND(cost_hospital_hide*1*cost_growth^(A174-2)*IF(A174&lt;=4,stage_early,IF(A174&lt;=stage_mid_level,stage_mid,IF(A174&lt;=stage_late_level,stage_normal,stage_late))),0))</f>
        <v>200</v>
      </c>
      <c r="F174" s="1" t="n">
        <f aca="false">IF(A174=1,0,ROUND(cost_hospital_stone*1*cost_growth^(A174-2)*IF(A174&lt;=4,stage_early,IF(A174&lt;=stage_mid_level,stage_mid,IF(A174&lt;=stage_late_level,stage_normal,stage_late))),0))</f>
        <v>160</v>
      </c>
      <c r="G174" s="1" t="n">
        <f aca="false">IF(A174=1,0,ROUND(build_time_base_min*time_coef_hospital*time_growth^(A174-2)*IF(A174&lt;=4,stage_early,IF(A174&lt;=stage_mid_level,stage_mid,IF(A174&lt;=stage_late_level,stage_normal,stage_late)))/60,1))</f>
        <v>0.3</v>
      </c>
    </row>
    <row r="175" customFormat="false" ht="15" hidden="false" customHeight="false" outlineLevel="0" collapsed="false">
      <c r="A175" s="1" t="n">
        <v>7</v>
      </c>
      <c r="B175" s="1" t="n">
        <f aca="false">ROUND(hospital_cap_base+hospital_cap_growth*(A175-1),0)</f>
        <v>4</v>
      </c>
      <c r="C175" s="1" t="n">
        <f aca="false">ROUND(heal_time_min/(1+heal_speed_growth*(A175-1)),0)</f>
        <v>46</v>
      </c>
      <c r="D175" s="1" t="n">
        <f aca="false">IF(A175=1,0,ROUND(cost_hospital_wood*1*cost_growth^(A175-2)*IF(A175&lt;=4,stage_early,IF(A175&lt;=stage_mid_level,stage_mid,IF(A175&lt;=stage_late_level,stage_normal,stage_late))),0))</f>
        <v>312</v>
      </c>
      <c r="E175" s="1" t="n">
        <f aca="false">IF(A175=1,0,ROUND(cost_hospital_hide*1*cost_growth^(A175-2)*IF(A175&lt;=4,stage_early,IF(A175&lt;=stage_mid_level,stage_mid,IF(A175&lt;=stage_late_level,stage_normal,stage_late))),0))</f>
        <v>260</v>
      </c>
      <c r="F175" s="1" t="n">
        <f aca="false">IF(A175=1,0,ROUND(cost_hospital_stone*1*cost_growth^(A175-2)*IF(A175&lt;=4,stage_early,IF(A175&lt;=stage_mid_level,stage_mid,IF(A175&lt;=stage_late_level,stage_normal,stage_late))),0))</f>
        <v>208</v>
      </c>
      <c r="G175" s="1" t="n">
        <f aca="false">IF(A175=1,0,ROUND(build_time_base_min*time_coef_hospital*time_growth^(A175-2)*IF(A175&lt;=4,stage_early,IF(A175&lt;=stage_mid_level,stage_mid,IF(A175&lt;=stage_late_level,stage_normal,stage_late)))/60,1))</f>
        <v>0.3</v>
      </c>
    </row>
    <row r="176" customFormat="false" ht="15" hidden="false" customHeight="false" outlineLevel="0" collapsed="false">
      <c r="A176" s="1" t="n">
        <v>8</v>
      </c>
      <c r="B176" s="1" t="n">
        <f aca="false">ROUND(hospital_cap_base+hospital_cap_growth*(A176-1),0)</f>
        <v>5</v>
      </c>
      <c r="C176" s="1" t="n">
        <f aca="false">ROUND(heal_time_min/(1+heal_speed_growth*(A176-1)),0)</f>
        <v>44</v>
      </c>
      <c r="D176" s="1" t="n">
        <f aca="false">IF(A176=1,0,ROUND(cost_hospital_wood*1*cost_growth^(A176-2)*IF(A176&lt;=4,stage_early,IF(A176&lt;=stage_mid_level,stage_mid,IF(A176&lt;=stage_late_level,stage_normal,stage_late))),0))</f>
        <v>405</v>
      </c>
      <c r="E176" s="1" t="n">
        <f aca="false">IF(A176=1,0,ROUND(cost_hospital_hide*1*cost_growth^(A176-2)*IF(A176&lt;=4,stage_early,IF(A176&lt;=stage_mid_level,stage_mid,IF(A176&lt;=stage_late_level,stage_normal,stage_late))),0))</f>
        <v>338</v>
      </c>
      <c r="F176" s="1" t="n">
        <f aca="false">IF(A176=1,0,ROUND(cost_hospital_stone*1*cost_growth^(A176-2)*IF(A176&lt;=4,stage_early,IF(A176&lt;=stage_mid_level,stage_mid,IF(A176&lt;=stage_late_level,stage_normal,stage_late))),0))</f>
        <v>270</v>
      </c>
      <c r="G176" s="1" t="n">
        <f aca="false">IF(A176=1,0,ROUND(build_time_base_min*time_coef_hospital*time_growth^(A176-2)*IF(A176&lt;=4,stage_early,IF(A176&lt;=stage_mid_level,stage_mid,IF(A176&lt;=stage_late_level,stage_normal,stage_late)))/60,1))</f>
        <v>0.4</v>
      </c>
    </row>
    <row r="177" customFormat="false" ht="15" hidden="false" customHeight="false" outlineLevel="0" collapsed="false">
      <c r="A177" s="1" t="n">
        <v>9</v>
      </c>
      <c r="B177" s="1" t="n">
        <f aca="false">ROUND(hospital_cap_base+hospital_cap_growth*(A177-1),0)</f>
        <v>5</v>
      </c>
      <c r="C177" s="1" t="n">
        <f aca="false">ROUND(heal_time_min/(1+heal_speed_growth*(A177-1)),0)</f>
        <v>43</v>
      </c>
      <c r="D177" s="1" t="n">
        <f aca="false">IF(A177=1,0,ROUND(cost_hospital_wood*1*cost_growth^(A177-2)*IF(A177&lt;=4,stage_early,IF(A177&lt;=stage_mid_level,stage_mid,IF(A177&lt;=stage_late_level,stage_normal,stage_late))),0))</f>
        <v>527</v>
      </c>
      <c r="E177" s="1" t="n">
        <f aca="false">IF(A177=1,0,ROUND(cost_hospital_hide*1*cost_growth^(A177-2)*IF(A177&lt;=4,stage_early,IF(A177&lt;=stage_mid_level,stage_mid,IF(A177&lt;=stage_late_level,stage_normal,stage_late))),0))</f>
        <v>439</v>
      </c>
      <c r="F177" s="1" t="n">
        <f aca="false">IF(A177=1,0,ROUND(cost_hospital_stone*1*cost_growth^(A177-2)*IF(A177&lt;=4,stage_early,IF(A177&lt;=stage_mid_level,stage_mid,IF(A177&lt;=stage_late_level,stage_normal,stage_late))),0))</f>
        <v>351</v>
      </c>
      <c r="G177" s="1" t="n">
        <f aca="false">IF(A177=1,0,ROUND(build_time_base_min*time_coef_hospital*time_growth^(A177-2)*IF(A177&lt;=4,stage_early,IF(A177&lt;=stage_mid_level,stage_mid,IF(A177&lt;=stage_late_level,stage_normal,stage_late)))/60,1))</f>
        <v>0.5</v>
      </c>
    </row>
    <row r="178" customFormat="false" ht="15" hidden="false" customHeight="false" outlineLevel="0" collapsed="false">
      <c r="A178" s="1" t="n">
        <v>10</v>
      </c>
      <c r="B178" s="1" t="n">
        <f aca="false">ROUND(hospital_cap_base+hospital_cap_growth*(A178-1),0)</f>
        <v>6</v>
      </c>
      <c r="C178" s="1" t="n">
        <f aca="false">ROUND(heal_time_min/(1+heal_speed_growth*(A178-1)),0)</f>
        <v>41</v>
      </c>
      <c r="D178" s="1" t="n">
        <f aca="false">IF(A178=1,0,ROUND(cost_hospital_wood*1*cost_growth^(A178-2)*IF(A178&lt;=4,stage_early,IF(A178&lt;=stage_mid_level,stage_mid,IF(A178&lt;=stage_late_level,stage_normal,stage_late))),0))</f>
        <v>685</v>
      </c>
      <c r="E178" s="1" t="n">
        <f aca="false">IF(A178=1,0,ROUND(cost_hospital_hide*1*cost_growth^(A178-2)*IF(A178&lt;=4,stage_early,IF(A178&lt;=stage_mid_level,stage_mid,IF(A178&lt;=stage_late_level,stage_normal,stage_late))),0))</f>
        <v>571</v>
      </c>
      <c r="F178" s="1" t="n">
        <f aca="false">IF(A178=1,0,ROUND(cost_hospital_stone*1*cost_growth^(A178-2)*IF(A178&lt;=4,stage_early,IF(A178&lt;=stage_mid_level,stage_mid,IF(A178&lt;=stage_late_level,stage_normal,stage_late))),0))</f>
        <v>457</v>
      </c>
      <c r="G178" s="1" t="n">
        <f aca="false">IF(A178=1,0,ROUND(build_time_base_min*time_coef_hospital*time_growth^(A178-2)*IF(A178&lt;=4,stage_early,IF(A178&lt;=stage_mid_level,stage_mid,IF(A178&lt;=stage_late_level,stage_normal,stage_late)))/60,1))</f>
        <v>0.6</v>
      </c>
    </row>
    <row r="179" customFormat="false" ht="15" hidden="false" customHeight="false" outlineLevel="0" collapsed="false">
      <c r="A179" s="1" t="n">
        <v>11</v>
      </c>
      <c r="B179" s="1" t="n">
        <f aca="false">ROUND(hospital_cap_base+hospital_cap_growth*(A179-1),0)</f>
        <v>6</v>
      </c>
      <c r="C179" s="1" t="n">
        <f aca="false">ROUND(heal_time_min/(1+heal_speed_growth*(A179-1)),0)</f>
        <v>40</v>
      </c>
      <c r="D179" s="1" t="n">
        <f aca="false">IF(A179=1,0,ROUND(cost_hospital_wood*1*cost_growth^(A179-2)*IF(A179&lt;=4,stage_early,IF(A179&lt;=stage_mid_level,stage_mid,IF(A179&lt;=stage_late_level,stage_normal,stage_late))),0))</f>
        <v>1273</v>
      </c>
      <c r="E179" s="1" t="n">
        <f aca="false">IF(A179=1,0,ROUND(cost_hospital_hide*1*cost_growth^(A179-2)*IF(A179&lt;=4,stage_early,IF(A179&lt;=stage_mid_level,stage_mid,IF(A179&lt;=stage_late_level,stage_normal,stage_late))),0))</f>
        <v>1060</v>
      </c>
      <c r="F179" s="1" t="n">
        <f aca="false">IF(A179=1,0,ROUND(cost_hospital_stone*1*cost_growth^(A179-2)*IF(A179&lt;=4,stage_early,IF(A179&lt;=stage_mid_level,stage_mid,IF(A179&lt;=stage_late_level,stage_normal,stage_late))),0))</f>
        <v>848</v>
      </c>
      <c r="G179" s="1" t="n">
        <f aca="false">IF(A179=1,0,ROUND(build_time_base_min*time_coef_hospital*time_growth^(A179-2)*IF(A179&lt;=4,stage_early,IF(A179&lt;=stage_mid_level,stage_mid,IF(A179&lt;=stage_late_level,stage_normal,stage_late)))/60,1))</f>
        <v>1.1</v>
      </c>
    </row>
    <row r="180" customFormat="false" ht="15" hidden="false" customHeight="false" outlineLevel="0" collapsed="false">
      <c r="A180" s="1" t="n">
        <v>12</v>
      </c>
      <c r="B180" s="1" t="n">
        <f aca="false">ROUND(hospital_cap_base+hospital_cap_growth*(A180-1),0)</f>
        <v>6</v>
      </c>
      <c r="C180" s="1" t="n">
        <f aca="false">ROUND(heal_time_min/(1+heal_speed_growth*(A180-1)),0)</f>
        <v>39</v>
      </c>
      <c r="D180" s="1" t="n">
        <f aca="false">IF(A180=1,0,ROUND(cost_hospital_wood*1*cost_growth^(A180-2)*IF(A180&lt;=4,stage_early,IF(A180&lt;=stage_mid_level,stage_mid,IF(A180&lt;=stage_late_level,stage_normal,stage_late))),0))</f>
        <v>1654</v>
      </c>
      <c r="E180" s="1" t="n">
        <f aca="false">IF(A180=1,0,ROUND(cost_hospital_hide*1*cost_growth^(A180-2)*IF(A180&lt;=4,stage_early,IF(A180&lt;=stage_mid_level,stage_mid,IF(A180&lt;=stage_late_level,stage_normal,stage_late))),0))</f>
        <v>1379</v>
      </c>
      <c r="F180" s="1" t="n">
        <f aca="false">IF(A180=1,0,ROUND(cost_hospital_stone*1*cost_growth^(A180-2)*IF(A180&lt;=4,stage_early,IF(A180&lt;=stage_mid_level,stage_mid,IF(A180&lt;=stage_late_level,stage_normal,stage_late))),0))</f>
        <v>1103</v>
      </c>
      <c r="G180" s="1" t="n">
        <f aca="false">IF(A180=1,0,ROUND(build_time_base_min*time_coef_hospital*time_growth^(A180-2)*IF(A180&lt;=4,stage_early,IF(A180&lt;=stage_mid_level,stage_mid,IF(A180&lt;=stage_late_level,stage_normal,stage_late)))/60,1))</f>
        <v>1.4</v>
      </c>
    </row>
    <row r="181" customFormat="false" ht="15" hidden="false" customHeight="false" outlineLevel="0" collapsed="false">
      <c r="A181" s="1" t="n">
        <v>13</v>
      </c>
      <c r="B181" s="1" t="n">
        <f aca="false">ROUND(hospital_cap_base+hospital_cap_growth*(A181-1),0)</f>
        <v>7</v>
      </c>
      <c r="C181" s="1" t="n">
        <f aca="false">ROUND(heal_time_min/(1+heal_speed_growth*(A181-1)),0)</f>
        <v>38</v>
      </c>
      <c r="D181" s="1" t="n">
        <f aca="false">IF(A181=1,0,ROUND(cost_hospital_wood*1*cost_growth^(A181-2)*IF(A181&lt;=4,stage_early,IF(A181&lt;=stage_mid_level,stage_mid,IF(A181&lt;=stage_late_level,stage_normal,stage_late))),0))</f>
        <v>2151</v>
      </c>
      <c r="E181" s="1" t="n">
        <f aca="false">IF(A181=1,0,ROUND(cost_hospital_hide*1*cost_growth^(A181-2)*IF(A181&lt;=4,stage_early,IF(A181&lt;=stage_mid_level,stage_mid,IF(A181&lt;=stage_late_level,stage_normal,stage_late))),0))</f>
        <v>1792</v>
      </c>
      <c r="F181" s="1" t="n">
        <f aca="false">IF(A181=1,0,ROUND(cost_hospital_stone*1*cost_growth^(A181-2)*IF(A181&lt;=4,stage_early,IF(A181&lt;=stage_mid_level,stage_mid,IF(A181&lt;=stage_late_level,stage_normal,stage_late))),0))</f>
        <v>1434</v>
      </c>
      <c r="G181" s="1" t="n">
        <f aca="false">IF(A181=1,0,ROUND(build_time_base_min*time_coef_hospital*time_growth^(A181-2)*IF(A181&lt;=4,stage_early,IF(A181&lt;=stage_mid_level,stage_mid,IF(A181&lt;=stage_late_level,stage_normal,stage_late)))/60,1))</f>
        <v>1.7</v>
      </c>
    </row>
    <row r="182" customFormat="false" ht="15" hidden="false" customHeight="false" outlineLevel="0" collapsed="false">
      <c r="A182" s="1" t="n">
        <v>14</v>
      </c>
      <c r="B182" s="1" t="n">
        <f aca="false">ROUND(hospital_cap_base+hospital_cap_growth*(A182-1),0)</f>
        <v>7</v>
      </c>
      <c r="C182" s="1" t="n">
        <f aca="false">ROUND(heal_time_min/(1+heal_speed_growth*(A182-1)),0)</f>
        <v>36</v>
      </c>
      <c r="D182" s="1" t="n">
        <f aca="false">IF(A182=1,0,ROUND(cost_hospital_wood*1*cost_growth^(A182-2)*IF(A182&lt;=4,stage_early,IF(A182&lt;=stage_mid_level,stage_mid,IF(A182&lt;=stage_late_level,stage_normal,stage_late))),0))</f>
        <v>2796</v>
      </c>
      <c r="E182" s="1" t="n">
        <f aca="false">IF(A182=1,0,ROUND(cost_hospital_hide*1*cost_growth^(A182-2)*IF(A182&lt;=4,stage_early,IF(A182&lt;=stage_mid_level,stage_mid,IF(A182&lt;=stage_late_level,stage_normal,stage_late))),0))</f>
        <v>2330</v>
      </c>
      <c r="F182" s="1" t="n">
        <f aca="false">IF(A182=1,0,ROUND(cost_hospital_stone*1*cost_growth^(A182-2)*IF(A182&lt;=4,stage_early,IF(A182&lt;=stage_mid_level,stage_mid,IF(A182&lt;=stage_late_level,stage_normal,stage_late))),0))</f>
        <v>1864</v>
      </c>
      <c r="G182" s="1" t="n">
        <f aca="false">IF(A182=1,0,ROUND(build_time_base_min*time_coef_hospital*time_growth^(A182-2)*IF(A182&lt;=4,stage_early,IF(A182&lt;=stage_mid_level,stage_mid,IF(A182&lt;=stage_late_level,stage_normal,stage_late)))/60,1))</f>
        <v>2.2</v>
      </c>
    </row>
    <row r="183" customFormat="false" ht="15" hidden="false" customHeight="false" outlineLevel="0" collapsed="false">
      <c r="A183" s="1" t="n">
        <v>15</v>
      </c>
      <c r="B183" s="1" t="n">
        <f aca="false">ROUND(hospital_cap_base+hospital_cap_growth*(A183-1),0)</f>
        <v>8</v>
      </c>
      <c r="C183" s="1" t="n">
        <f aca="false">ROUND(heal_time_min/(1+heal_speed_growth*(A183-1)),0)</f>
        <v>35</v>
      </c>
      <c r="D183" s="1" t="n">
        <f aca="false">IF(A183=1,0,ROUND(cost_hospital_wood*1*cost_growth^(A183-2)*IF(A183&lt;=4,stage_early,IF(A183&lt;=stage_mid_level,stage_mid,IF(A183&lt;=stage_late_level,stage_normal,stage_late))),0))</f>
        <v>3635</v>
      </c>
      <c r="E183" s="1" t="n">
        <f aca="false">IF(A183=1,0,ROUND(cost_hospital_hide*1*cost_growth^(A183-2)*IF(A183&lt;=4,stage_early,IF(A183&lt;=stage_mid_level,stage_mid,IF(A183&lt;=stage_late_level,stage_normal,stage_late))),0))</f>
        <v>3029</v>
      </c>
      <c r="F183" s="1" t="n">
        <f aca="false">IF(A183=1,0,ROUND(cost_hospital_stone*1*cost_growth^(A183-2)*IF(A183&lt;=4,stage_early,IF(A183&lt;=stage_mid_level,stage_mid,IF(A183&lt;=stage_late_level,stage_normal,stage_late))),0))</f>
        <v>2423</v>
      </c>
      <c r="G183" s="1" t="n">
        <f aca="false">IF(A183=1,0,ROUND(build_time_base_min*time_coef_hospital*time_growth^(A183-2)*IF(A183&lt;=4,stage_early,IF(A183&lt;=stage_mid_level,stage_mid,IF(A183&lt;=stage_late_level,stage_normal,stage_late)))/60,1))</f>
        <v>2.7</v>
      </c>
    </row>
    <row r="184" customFormat="false" ht="15" hidden="false" customHeight="false" outlineLevel="0" collapsed="false">
      <c r="A184" s="1" t="n">
        <v>16</v>
      </c>
      <c r="B184" s="1" t="n">
        <f aca="false">ROUND(hospital_cap_base+hospital_cap_growth*(A184-1),0)</f>
        <v>8</v>
      </c>
      <c r="C184" s="1" t="n">
        <f aca="false">ROUND(heal_time_min/(1+heal_speed_growth*(A184-1)),0)</f>
        <v>34</v>
      </c>
      <c r="D184" s="1" t="n">
        <f aca="false">IF(A184=1,0,ROUND(cost_hospital_wood*1*cost_growth^(A184-2)*IF(A184&lt;=4,stage_early,IF(A184&lt;=stage_mid_level,stage_mid,IF(A184&lt;=stage_late_level,stage_normal,stage_late))),0))</f>
        <v>5906</v>
      </c>
      <c r="E184" s="1" t="n">
        <f aca="false">IF(A184=1,0,ROUND(cost_hospital_hide*1*cost_growth^(A184-2)*IF(A184&lt;=4,stage_early,IF(A184&lt;=stage_mid_level,stage_mid,IF(A184&lt;=stage_late_level,stage_normal,stage_late))),0))</f>
        <v>4922</v>
      </c>
      <c r="F184" s="1" t="n">
        <f aca="false">IF(A184=1,0,ROUND(cost_hospital_stone*1*cost_growth^(A184-2)*IF(A184&lt;=4,stage_early,IF(A184&lt;=stage_mid_level,stage_mid,IF(A184&lt;=stage_late_level,stage_normal,stage_late))),0))</f>
        <v>3937</v>
      </c>
      <c r="G184" s="1" t="n">
        <f aca="false">IF(A184=1,0,ROUND(build_time_base_min*time_coef_hospital*time_growth^(A184-2)*IF(A184&lt;=4,stage_early,IF(A184&lt;=stage_mid_level,stage_mid,IF(A184&lt;=stage_late_level,stage_normal,stage_late)))/60,1))</f>
        <v>4.3</v>
      </c>
    </row>
    <row r="185" customFormat="false" ht="15" hidden="false" customHeight="false" outlineLevel="0" collapsed="false">
      <c r="A185" s="1" t="n">
        <v>17</v>
      </c>
      <c r="B185" s="1" t="n">
        <f aca="false">ROUND(hospital_cap_base+hospital_cap_growth*(A185-1),0)</f>
        <v>8</v>
      </c>
      <c r="C185" s="1" t="n">
        <f aca="false">ROUND(heal_time_min/(1+heal_speed_growth*(A185-1)),0)</f>
        <v>33</v>
      </c>
      <c r="D185" s="1" t="n">
        <f aca="false">IF(A185=1,0,ROUND(cost_hospital_wood*1*cost_growth^(A185-2)*IF(A185&lt;=4,stage_early,IF(A185&lt;=stage_mid_level,stage_mid,IF(A185&lt;=stage_late_level,stage_normal,stage_late))),0))</f>
        <v>7678</v>
      </c>
      <c r="E185" s="1" t="n">
        <f aca="false">IF(A185=1,0,ROUND(cost_hospital_hide*1*cost_growth^(A185-2)*IF(A185&lt;=4,stage_early,IF(A185&lt;=stage_mid_level,stage_mid,IF(A185&lt;=stage_late_level,stage_normal,stage_late))),0))</f>
        <v>6398</v>
      </c>
      <c r="F185" s="1" t="n">
        <f aca="false">IF(A185=1,0,ROUND(cost_hospital_stone*1*cost_growth^(A185-2)*IF(A185&lt;=4,stage_early,IF(A185&lt;=stage_mid_level,stage_mid,IF(A185&lt;=stage_late_level,stage_normal,stage_late))),0))</f>
        <v>5119</v>
      </c>
      <c r="G185" s="1" t="n">
        <f aca="false">IF(A185=1,0,ROUND(build_time_base_min*time_coef_hospital*time_growth^(A185-2)*IF(A185&lt;=4,stage_early,IF(A185&lt;=stage_mid_level,stage_mid,IF(A185&lt;=stage_late_level,stage_normal,stage_late)))/60,1))</f>
        <v>5.3</v>
      </c>
    </row>
    <row r="186" customFormat="false" ht="15" hidden="false" customHeight="false" outlineLevel="0" collapsed="false">
      <c r="A186" s="1" t="n">
        <v>18</v>
      </c>
      <c r="B186" s="1" t="n">
        <f aca="false">ROUND(hospital_cap_base+hospital_cap_growth*(A186-1),0)</f>
        <v>9</v>
      </c>
      <c r="C186" s="1" t="n">
        <f aca="false">ROUND(heal_time_min/(1+heal_speed_growth*(A186-1)),0)</f>
        <v>32</v>
      </c>
      <c r="D186" s="1" t="n">
        <f aca="false">IF(A186=1,0,ROUND(cost_hospital_wood*1*cost_growth^(A186-2)*IF(A186&lt;=4,stage_early,IF(A186&lt;=stage_mid_level,stage_mid,IF(A186&lt;=stage_late_level,stage_normal,stage_late))),0))</f>
        <v>9981</v>
      </c>
      <c r="E186" s="1" t="n">
        <f aca="false">IF(A186=1,0,ROUND(cost_hospital_hide*1*cost_growth^(A186-2)*IF(A186&lt;=4,stage_early,IF(A186&lt;=stage_mid_level,stage_mid,IF(A186&lt;=stage_late_level,stage_normal,stage_late))),0))</f>
        <v>8318</v>
      </c>
      <c r="F186" s="1" t="n">
        <f aca="false">IF(A186=1,0,ROUND(cost_hospital_stone*1*cost_growth^(A186-2)*IF(A186&lt;=4,stage_early,IF(A186&lt;=stage_mid_level,stage_mid,IF(A186&lt;=stage_late_level,stage_normal,stage_late))),0))</f>
        <v>6654</v>
      </c>
      <c r="G186" s="1" t="n">
        <f aca="false">IF(A186=1,0,ROUND(build_time_base_min*time_coef_hospital*time_growth^(A186-2)*IF(A186&lt;=4,stage_early,IF(A186&lt;=stage_mid_level,stage_mid,IF(A186&lt;=stage_late_level,stage_normal,stage_late)))/60,1))</f>
        <v>6.7</v>
      </c>
    </row>
    <row r="187" customFormat="false" ht="15" hidden="false" customHeight="false" outlineLevel="0" collapsed="false">
      <c r="A187" s="1" t="n">
        <v>19</v>
      </c>
      <c r="B187" s="1" t="n">
        <f aca="false">ROUND(hospital_cap_base+hospital_cap_growth*(A187-1),0)</f>
        <v>9</v>
      </c>
      <c r="C187" s="1" t="n">
        <f aca="false">ROUND(heal_time_min/(1+heal_speed_growth*(A187-1)),0)</f>
        <v>32</v>
      </c>
      <c r="D187" s="1" t="n">
        <f aca="false">IF(A187=1,0,ROUND(cost_hospital_wood*1*cost_growth^(A187-2)*IF(A187&lt;=4,stage_early,IF(A187&lt;=stage_mid_level,stage_mid,IF(A187&lt;=stage_late_level,stage_normal,stage_late))),0))</f>
        <v>12976</v>
      </c>
      <c r="E187" s="1" t="n">
        <f aca="false">IF(A187=1,0,ROUND(cost_hospital_hide*1*cost_growth^(A187-2)*IF(A187&lt;=4,stage_early,IF(A187&lt;=stage_mid_level,stage_mid,IF(A187&lt;=stage_late_level,stage_normal,stage_late))),0))</f>
        <v>10813</v>
      </c>
      <c r="F187" s="1" t="n">
        <f aca="false">IF(A187=1,0,ROUND(cost_hospital_stone*1*cost_growth^(A187-2)*IF(A187&lt;=4,stage_early,IF(A187&lt;=stage_mid_level,stage_mid,IF(A187&lt;=stage_late_level,stage_normal,stage_late))),0))</f>
        <v>8650</v>
      </c>
      <c r="G187" s="1" t="n">
        <f aca="false">IF(A187=1,0,ROUND(build_time_base_min*time_coef_hospital*time_growth^(A187-2)*IF(A187&lt;=4,stage_early,IF(A187&lt;=stage_mid_level,stage_mid,IF(A187&lt;=stage_late_level,stage_normal,stage_late)))/60,1))</f>
        <v>8.3</v>
      </c>
    </row>
    <row r="188" customFormat="false" ht="15" hidden="false" customHeight="false" outlineLevel="0" collapsed="false">
      <c r="A188" s="1" t="n">
        <v>20</v>
      </c>
      <c r="B188" s="1" t="n">
        <f aca="false">ROUND(hospital_cap_base+hospital_cap_growth*(A188-1),0)</f>
        <v>10</v>
      </c>
      <c r="C188" s="1" t="n">
        <f aca="false">ROUND(heal_time_min/(1+heal_speed_growth*(A188-1)),0)</f>
        <v>31</v>
      </c>
      <c r="D188" s="1" t="n">
        <f aca="false">IF(A188=1,0,ROUND(cost_hospital_wood*1*cost_growth^(A188-2)*IF(A188&lt;=4,stage_early,IF(A188&lt;=stage_mid_level,stage_mid,IF(A188&lt;=stage_late_level,stage_normal,stage_late))),0))</f>
        <v>16868</v>
      </c>
      <c r="E188" s="1" t="n">
        <f aca="false">IF(A188=1,0,ROUND(cost_hospital_hide*1*cost_growth^(A188-2)*IF(A188&lt;=4,stage_early,IF(A188&lt;=stage_mid_level,stage_mid,IF(A188&lt;=stage_late_level,stage_normal,stage_late))),0))</f>
        <v>14057</v>
      </c>
      <c r="F188" s="1" t="n">
        <f aca="false">IF(A188=1,0,ROUND(cost_hospital_stone*1*cost_growth^(A188-2)*IF(A188&lt;=4,stage_early,IF(A188&lt;=stage_mid_level,stage_mid,IF(A188&lt;=stage_late_level,stage_normal,stage_late))),0))</f>
        <v>11246</v>
      </c>
      <c r="G188" s="1" t="n">
        <f aca="false">IF(A188=1,0,ROUND(build_time_base_min*time_coef_hospital*time_growth^(A188-2)*IF(A188&lt;=4,stage_early,IF(A188&lt;=stage_mid_level,stage_mid,IF(A188&lt;=stage_late_level,stage_normal,stage_late)))/60,1))</f>
        <v>10.4</v>
      </c>
    </row>
    <row r="189" customFormat="false" ht="15" hidden="false" customHeight="false" outlineLevel="0" collapsed="false">
      <c r="A189" s="1" t="n">
        <v>21</v>
      </c>
      <c r="B189" s="1" t="n">
        <f aca="false">ROUND(hospital_cap_base+hospital_cap_growth*(A189-1),0)</f>
        <v>10</v>
      </c>
      <c r="C189" s="1" t="n">
        <f aca="false">ROUND(heal_time_min/(1+heal_speed_growth*(A189-1)),0)</f>
        <v>30</v>
      </c>
      <c r="D189" s="1" t="n">
        <f aca="false">IF(A189=1,0,ROUND(cost_hospital_wood*1*cost_growth^(A189-2)*IF(A189&lt;=4,stage_early,IF(A189&lt;=stage_mid_level,stage_mid,IF(A189&lt;=stage_late_level,stage_normal,stage_late))),0))</f>
        <v>21929</v>
      </c>
      <c r="E189" s="1" t="n">
        <f aca="false">IF(A189=1,0,ROUND(cost_hospital_hide*1*cost_growth^(A189-2)*IF(A189&lt;=4,stage_early,IF(A189&lt;=stage_mid_level,stage_mid,IF(A189&lt;=stage_late_level,stage_normal,stage_late))),0))</f>
        <v>18274</v>
      </c>
      <c r="F189" s="1" t="n">
        <f aca="false">IF(A189=1,0,ROUND(cost_hospital_stone*1*cost_growth^(A189-2)*IF(A189&lt;=4,stage_early,IF(A189&lt;=stage_mid_level,stage_mid,IF(A189&lt;=stage_late_level,stage_normal,stage_late))),0))</f>
        <v>14619</v>
      </c>
      <c r="G189" s="1" t="n">
        <f aca="false">IF(A189=1,0,ROUND(build_time_base_min*time_coef_hospital*time_growth^(A189-2)*IF(A189&lt;=4,stage_early,IF(A189&lt;=stage_mid_level,stage_mid,IF(A189&lt;=stage_late_level,stage_normal,stage_late)))/60,1))</f>
        <v>13</v>
      </c>
    </row>
    <row r="190" customFormat="false" ht="15" hidden="false" customHeight="false" outlineLevel="0" collapsed="false">
      <c r="A190" s="1" t="n">
        <v>22</v>
      </c>
      <c r="B190" s="1" t="n">
        <f aca="false">ROUND(hospital_cap_base+hospital_cap_growth*(A190-1),0)</f>
        <v>10</v>
      </c>
      <c r="C190" s="1" t="n">
        <f aca="false">ROUND(heal_time_min/(1+heal_speed_growth*(A190-1)),0)</f>
        <v>29</v>
      </c>
      <c r="D190" s="1" t="n">
        <f aca="false">IF(A190=1,0,ROUND(cost_hospital_wood*1*cost_growth^(A190-2)*IF(A190&lt;=4,stage_early,IF(A190&lt;=stage_mid_level,stage_mid,IF(A190&lt;=stage_late_level,stage_normal,stage_late))),0))</f>
        <v>28507</v>
      </c>
      <c r="E190" s="1" t="n">
        <f aca="false">IF(A190=1,0,ROUND(cost_hospital_hide*1*cost_growth^(A190-2)*IF(A190&lt;=4,stage_early,IF(A190&lt;=stage_mid_level,stage_mid,IF(A190&lt;=stage_late_level,stage_normal,stage_late))),0))</f>
        <v>23756</v>
      </c>
      <c r="F190" s="1" t="n">
        <f aca="false">IF(A190=1,0,ROUND(cost_hospital_stone*1*cost_growth^(A190-2)*IF(A190&lt;=4,stage_early,IF(A190&lt;=stage_mid_level,stage_mid,IF(A190&lt;=stage_late_level,stage_normal,stage_late))),0))</f>
        <v>19005</v>
      </c>
      <c r="G190" s="1" t="n">
        <f aca="false">IF(A190=1,0,ROUND(build_time_base_min*time_coef_hospital*time_growth^(A190-2)*IF(A190&lt;=4,stage_early,IF(A190&lt;=stage_mid_level,stage_mid,IF(A190&lt;=stage_late_level,stage_normal,stage_late)))/60,1))</f>
        <v>16.3</v>
      </c>
    </row>
    <row r="191" customFormat="false" ht="15" hidden="false" customHeight="false" outlineLevel="0" collapsed="false">
      <c r="A191" s="1" t="n">
        <v>23</v>
      </c>
      <c r="B191" s="1" t="n">
        <f aca="false">ROUND(hospital_cap_base+hospital_cap_growth*(A191-1),0)</f>
        <v>11</v>
      </c>
      <c r="C191" s="1" t="n">
        <f aca="false">ROUND(heal_time_min/(1+heal_speed_growth*(A191-1)),0)</f>
        <v>29</v>
      </c>
      <c r="D191" s="1" t="n">
        <f aca="false">IF(A191=1,0,ROUND(cost_hospital_wood*1*cost_growth^(A191-2)*IF(A191&lt;=4,stage_early,IF(A191&lt;=stage_mid_level,stage_mid,IF(A191&lt;=stage_late_level,stage_normal,stage_late))),0))</f>
        <v>37060</v>
      </c>
      <c r="E191" s="1" t="n">
        <f aca="false">IF(A191=1,0,ROUND(cost_hospital_hide*1*cost_growth^(A191-2)*IF(A191&lt;=4,stage_early,IF(A191&lt;=stage_mid_level,stage_mid,IF(A191&lt;=stage_late_level,stage_normal,stage_late))),0))</f>
        <v>30883</v>
      </c>
      <c r="F191" s="1" t="n">
        <f aca="false">IF(A191=1,0,ROUND(cost_hospital_stone*1*cost_growth^(A191-2)*IF(A191&lt;=4,stage_early,IF(A191&lt;=stage_mid_level,stage_mid,IF(A191&lt;=stage_late_level,stage_normal,stage_late))),0))</f>
        <v>24706</v>
      </c>
      <c r="G191" s="1" t="n">
        <f aca="false">IF(A191=1,0,ROUND(build_time_base_min*time_coef_hospital*time_growth^(A191-2)*IF(A191&lt;=4,stage_early,IF(A191&lt;=stage_mid_level,stage_mid,IF(A191&lt;=stage_late_level,stage_normal,stage_late)))/60,1))</f>
        <v>20.3</v>
      </c>
    </row>
    <row r="192" customFormat="false" ht="15" hidden="false" customHeight="false" outlineLevel="0" collapsed="false">
      <c r="A192" s="1" t="n">
        <v>24</v>
      </c>
      <c r="B192" s="1" t="n">
        <f aca="false">ROUND(hospital_cap_base+hospital_cap_growth*(A192-1),0)</f>
        <v>11</v>
      </c>
      <c r="C192" s="1" t="n">
        <f aca="false">ROUND(heal_time_min/(1+heal_speed_growth*(A192-1)),0)</f>
        <v>28</v>
      </c>
      <c r="D192" s="1" t="n">
        <f aca="false">IF(A192=1,0,ROUND(cost_hospital_wood*1*cost_growth^(A192-2)*IF(A192&lt;=4,stage_early,IF(A192&lt;=stage_mid_level,stage_mid,IF(A192&lt;=stage_late_level,stage_normal,stage_late))),0))</f>
        <v>48178</v>
      </c>
      <c r="E192" s="1" t="n">
        <f aca="false">IF(A192=1,0,ROUND(cost_hospital_hide*1*cost_growth^(A192-2)*IF(A192&lt;=4,stage_early,IF(A192&lt;=stage_mid_level,stage_mid,IF(A192&lt;=stage_late_level,stage_normal,stage_late))),0))</f>
        <v>40148</v>
      </c>
      <c r="F192" s="1" t="n">
        <f aca="false">IF(A192=1,0,ROUND(cost_hospital_stone*1*cost_growth^(A192-2)*IF(A192&lt;=4,stage_early,IF(A192&lt;=stage_mid_level,stage_mid,IF(A192&lt;=stage_late_level,stage_normal,stage_late))),0))</f>
        <v>32118</v>
      </c>
      <c r="G192" s="1" t="n">
        <f aca="false">IF(A192=1,0,ROUND(build_time_base_min*time_coef_hospital*time_growth^(A192-2)*IF(A192&lt;=4,stage_early,IF(A192&lt;=stage_mid_level,stage_mid,IF(A192&lt;=stage_late_level,stage_normal,stage_late)))/60,1))</f>
        <v>25.4</v>
      </c>
    </row>
    <row r="193" customFormat="false" ht="15" hidden="false" customHeight="false" outlineLevel="0" collapsed="false">
      <c r="A193" s="1" t="n">
        <v>25</v>
      </c>
      <c r="B193" s="1" t="n">
        <f aca="false">ROUND(hospital_cap_base+hospital_cap_growth*(A193-1),0)</f>
        <v>12</v>
      </c>
      <c r="C193" s="1" t="n">
        <f aca="false">ROUND(heal_time_min/(1+heal_speed_growth*(A193-1)),0)</f>
        <v>27</v>
      </c>
      <c r="D193" s="1" t="n">
        <f aca="false">IF(A193=1,0,ROUND(cost_hospital_wood*1*cost_growth^(A193-2)*IF(A193&lt;=4,stage_early,IF(A193&lt;=stage_mid_level,stage_mid,IF(A193&lt;=stage_late_level,stage_normal,stage_late))),0))</f>
        <v>62631</v>
      </c>
      <c r="E193" s="1" t="n">
        <f aca="false">IF(A193=1,0,ROUND(cost_hospital_hide*1*cost_growth^(A193-2)*IF(A193&lt;=4,stage_early,IF(A193&lt;=stage_mid_level,stage_mid,IF(A193&lt;=stage_late_level,stage_normal,stage_late))),0))</f>
        <v>52192</v>
      </c>
      <c r="F193" s="1" t="n">
        <f aca="false">IF(A193=1,0,ROUND(cost_hospital_stone*1*cost_growth^(A193-2)*IF(A193&lt;=4,stage_early,IF(A193&lt;=stage_mid_level,stage_mid,IF(A193&lt;=stage_late_level,stage_normal,stage_late))),0))</f>
        <v>41754</v>
      </c>
      <c r="G193" s="1" t="n">
        <f aca="false">IF(A193=1,0,ROUND(build_time_base_min*time_coef_hospital*time_growth^(A193-2)*IF(A193&lt;=4,stage_early,IF(A193&lt;=stage_mid_level,stage_mid,IF(A193&lt;=stage_late_level,stage_normal,stage_late)))/60,1))</f>
        <v>31.8</v>
      </c>
    </row>
    <row r="194" customFormat="false" ht="15" hidden="false" customHeight="false" outlineLevel="0" collapsed="false">
      <c r="A194" s="1" t="s">
        <v>158</v>
      </c>
    </row>
    <row r="195" customFormat="false" ht="15" hidden="false" customHeight="false" outlineLevel="0" collapsed="false">
      <c r="A195" s="2" t="s">
        <v>2</v>
      </c>
      <c r="B195" s="2" t="s">
        <v>159</v>
      </c>
      <c r="C195" s="2" t="s">
        <v>160</v>
      </c>
      <c r="D195" s="2" t="s">
        <v>161</v>
      </c>
      <c r="E195" s="2" t="s">
        <v>138</v>
      </c>
      <c r="F195" s="2" t="s">
        <v>139</v>
      </c>
      <c r="G195" s="2" t="s">
        <v>140</v>
      </c>
    </row>
    <row r="196" customFormat="false" ht="15" hidden="false" customHeight="false" outlineLevel="0" collapsed="false">
      <c r="A196" s="1" t="n">
        <v>1</v>
      </c>
      <c r="B196" s="1" t="n">
        <f aca="false">market_rate_base-market_rate_step*(A196-1)</f>
        <v>3</v>
      </c>
      <c r="C196" s="1" t="n">
        <f aca="false">ROUND(market_limit_base*market_limit_growth^(A196-1),0)</f>
        <v>200</v>
      </c>
      <c r="D196" s="1" t="n">
        <f aca="false">market_tax_base-market_tax_step*(A196-1)</f>
        <v>0.2</v>
      </c>
      <c r="E196" s="1" t="n">
        <f aca="false">IF(A196=1,0,ROUND(cost_market_stone*1*cost_growth^(A196-2)*IF(A196&lt;=4,stage_early,IF(A196&lt;=stage_mid_level,stage_mid,IF(A196&lt;=stage_late_level,stage_normal,stage_late))),0))</f>
        <v>0</v>
      </c>
      <c r="F196" s="1" t="n">
        <f aca="false">IF(A196=1,0,ROUND(cost_market_wood*1*cost_growth^(A196-2)*IF(A196&lt;=4,stage_early,IF(A196&lt;=stage_mid_level,stage_mid,IF(A196&lt;=stage_late_level,stage_normal,stage_late))),0))</f>
        <v>0</v>
      </c>
      <c r="G196" s="1" t="n">
        <f aca="false">IF(A196=1,0,ROUND(build_time_base_min*time_coef_market*time_growth^(A196-2)*IF(A196&lt;=4,stage_early,IF(A196&lt;=stage_mid_level,stage_mid,IF(A196&lt;=stage_late_level,stage_normal,stage_late)))/60,1))</f>
        <v>0</v>
      </c>
    </row>
    <row r="197" customFormat="false" ht="15" hidden="false" customHeight="false" outlineLevel="0" collapsed="false">
      <c r="A197" s="1" t="n">
        <v>2</v>
      </c>
      <c r="B197" s="1" t="n">
        <f aca="false">market_rate_base-market_rate_step*(A197-1)</f>
        <v>2.925</v>
      </c>
      <c r="C197" s="1" t="n">
        <f aca="false">ROUND(market_limit_base*market_limit_growth^(A197-1),0)</f>
        <v>240</v>
      </c>
      <c r="D197" s="1" t="n">
        <f aca="false">market_tax_base-market_tax_step*(A197-1)</f>
        <v>0.194</v>
      </c>
      <c r="E197" s="1" t="n">
        <f aca="false">IF(A197=1,0,ROUND(cost_market_stone*1*cost_growth^(A197-2)*IF(A197&lt;=4,stage_early,IF(A197&lt;=stage_mid_level,stage_mid,IF(A197&lt;=stage_late_level,stage_normal,stage_late))),0))</f>
        <v>52</v>
      </c>
      <c r="F197" s="1" t="n">
        <f aca="false">IF(A197=1,0,ROUND(cost_market_wood*1*cost_growth^(A197-2)*IF(A197&lt;=4,stage_early,IF(A197&lt;=stage_mid_level,stage_mid,IF(A197&lt;=stage_late_level,stage_normal,stage_late))),0))</f>
        <v>44</v>
      </c>
      <c r="G197" s="1" t="n">
        <f aca="false">IF(A197=1,0,ROUND(build_time_base_min*time_coef_market*time_growth^(A197-2)*IF(A197&lt;=4,stage_early,IF(A197&lt;=stage_mid_level,stage_mid,IF(A197&lt;=stage_late_level,stage_normal,stage_late)))/60,1))</f>
        <v>0.1</v>
      </c>
    </row>
    <row r="198" customFormat="false" ht="15" hidden="false" customHeight="false" outlineLevel="0" collapsed="false">
      <c r="A198" s="1" t="n">
        <v>3</v>
      </c>
      <c r="B198" s="1" t="n">
        <f aca="false">market_rate_base-market_rate_step*(A198-1)</f>
        <v>2.85</v>
      </c>
      <c r="C198" s="1" t="n">
        <f aca="false">ROUND(market_limit_base*market_limit_growth^(A198-1),0)</f>
        <v>288</v>
      </c>
      <c r="D198" s="1" t="n">
        <f aca="false">market_tax_base-market_tax_step*(A198-1)</f>
        <v>0.188</v>
      </c>
      <c r="E198" s="1" t="n">
        <f aca="false">IF(A198=1,0,ROUND(cost_market_stone*1*cost_growth^(A198-2)*IF(A198&lt;=4,stage_early,IF(A198&lt;=stage_mid_level,stage_mid,IF(A198&lt;=stage_late_level,stage_normal,stage_late))),0))</f>
        <v>68</v>
      </c>
      <c r="F198" s="1" t="n">
        <f aca="false">IF(A198=1,0,ROUND(cost_market_wood*1*cost_growth^(A198-2)*IF(A198&lt;=4,stage_early,IF(A198&lt;=stage_mid_level,stage_mid,IF(A198&lt;=stage_late_level,stage_normal,stage_late))),0))</f>
        <v>57</v>
      </c>
      <c r="G198" s="1" t="n">
        <f aca="false">IF(A198=1,0,ROUND(build_time_base_min*time_coef_market*time_growth^(A198-2)*IF(A198&lt;=4,stage_early,IF(A198&lt;=stage_mid_level,stage_mid,IF(A198&lt;=stage_late_level,stage_normal,stage_late)))/60,1))</f>
        <v>0.1</v>
      </c>
    </row>
    <row r="199" customFormat="false" ht="15" hidden="false" customHeight="false" outlineLevel="0" collapsed="false">
      <c r="A199" s="1" t="n">
        <v>4</v>
      </c>
      <c r="B199" s="1" t="n">
        <f aca="false">market_rate_base-market_rate_step*(A199-1)</f>
        <v>2.775</v>
      </c>
      <c r="C199" s="1" t="n">
        <f aca="false">ROUND(market_limit_base*market_limit_growth^(A199-1),0)</f>
        <v>346</v>
      </c>
      <c r="D199" s="1" t="n">
        <f aca="false">market_tax_base-market_tax_step*(A199-1)</f>
        <v>0.182</v>
      </c>
      <c r="E199" s="1" t="n">
        <f aca="false">IF(A199=1,0,ROUND(cost_market_stone*1*cost_growth^(A199-2)*IF(A199&lt;=4,stage_early,IF(A199&lt;=stage_mid_level,stage_mid,IF(A199&lt;=stage_late_level,stage_normal,stage_late))),0))</f>
        <v>88</v>
      </c>
      <c r="F199" s="1" t="n">
        <f aca="false">IF(A199=1,0,ROUND(cost_market_wood*1*cost_growth^(A199-2)*IF(A199&lt;=4,stage_early,IF(A199&lt;=stage_mid_level,stage_mid,IF(A199&lt;=stage_late_level,stage_normal,stage_late))),0))</f>
        <v>74</v>
      </c>
      <c r="G199" s="1" t="n">
        <f aca="false">IF(A199=1,0,ROUND(build_time_base_min*time_coef_market*time_growth^(A199-2)*IF(A199&lt;=4,stage_early,IF(A199&lt;=stage_mid_level,stage_mid,IF(A199&lt;=stage_late_level,stage_normal,stage_late)))/60,1))</f>
        <v>0.1</v>
      </c>
    </row>
    <row r="200" customFormat="false" ht="15" hidden="false" customHeight="false" outlineLevel="0" collapsed="false">
      <c r="A200" s="1" t="n">
        <v>5</v>
      </c>
      <c r="B200" s="1" t="n">
        <f aca="false">market_rate_base-market_rate_step*(A200-1)</f>
        <v>2.7</v>
      </c>
      <c r="C200" s="1" t="n">
        <f aca="false">ROUND(market_limit_base*market_limit_growth^(A200-1),0)</f>
        <v>415</v>
      </c>
      <c r="D200" s="1" t="n">
        <f aca="false">market_tax_base-market_tax_step*(A200-1)</f>
        <v>0.176</v>
      </c>
      <c r="E200" s="1" t="n">
        <f aca="false">IF(A200=1,0,ROUND(cost_market_stone*1*cost_growth^(A200-2)*IF(A200&lt;=4,stage_early,IF(A200&lt;=stage_mid_level,stage_mid,IF(A200&lt;=stage_late_level,stage_normal,stage_late))),0))</f>
        <v>200</v>
      </c>
      <c r="F200" s="1" t="n">
        <f aca="false">IF(A200=1,0,ROUND(cost_market_wood*1*cost_growth^(A200-2)*IF(A200&lt;=4,stage_early,IF(A200&lt;=stage_mid_level,stage_mid,IF(A200&lt;=stage_late_level,stage_normal,stage_late))),0))</f>
        <v>169</v>
      </c>
      <c r="G200" s="1" t="n">
        <f aca="false">IF(A200=1,0,ROUND(build_time_base_min*time_coef_market*time_growth^(A200-2)*IF(A200&lt;=4,stage_early,IF(A200&lt;=stage_mid_level,stage_mid,IF(A200&lt;=stage_late_level,stage_normal,stage_late)))/60,1))</f>
        <v>0.2</v>
      </c>
    </row>
    <row r="201" customFormat="false" ht="15" hidden="false" customHeight="false" outlineLevel="0" collapsed="false">
      <c r="A201" s="1" t="n">
        <v>6</v>
      </c>
      <c r="B201" s="1" t="n">
        <f aca="false">market_rate_base-market_rate_step*(A201-1)</f>
        <v>2.625</v>
      </c>
      <c r="C201" s="1" t="n">
        <f aca="false">ROUND(market_limit_base*market_limit_growth^(A201-1),0)</f>
        <v>498</v>
      </c>
      <c r="D201" s="1" t="n">
        <f aca="false">market_tax_base-market_tax_step*(A201-1)</f>
        <v>0.17</v>
      </c>
      <c r="E201" s="1" t="n">
        <f aca="false">IF(A201=1,0,ROUND(cost_market_stone*1*cost_growth^(A201-2)*IF(A201&lt;=4,stage_early,IF(A201&lt;=stage_mid_level,stage_mid,IF(A201&lt;=stage_late_level,stage_normal,stage_late))),0))</f>
        <v>260</v>
      </c>
      <c r="F201" s="1" t="n">
        <f aca="false">IF(A201=1,0,ROUND(cost_market_wood*1*cost_growth^(A201-2)*IF(A201&lt;=4,stage_early,IF(A201&lt;=stage_mid_level,stage_mid,IF(A201&lt;=stage_late_level,stage_normal,stage_late))),0))</f>
        <v>220</v>
      </c>
      <c r="G201" s="1" t="n">
        <f aca="false">IF(A201=1,0,ROUND(build_time_base_min*time_coef_market*time_growth^(A201-2)*IF(A201&lt;=4,stage_early,IF(A201&lt;=stage_mid_level,stage_mid,IF(A201&lt;=stage_late_level,stage_normal,stage_late)))/60,1))</f>
        <v>0.3</v>
      </c>
    </row>
    <row r="202" customFormat="false" ht="15" hidden="false" customHeight="false" outlineLevel="0" collapsed="false">
      <c r="A202" s="1" t="n">
        <v>7</v>
      </c>
      <c r="B202" s="1" t="n">
        <f aca="false">market_rate_base-market_rate_step*(A202-1)</f>
        <v>2.55</v>
      </c>
      <c r="C202" s="1" t="n">
        <f aca="false">ROUND(market_limit_base*market_limit_growth^(A202-1),0)</f>
        <v>597</v>
      </c>
      <c r="D202" s="1" t="n">
        <f aca="false">market_tax_base-market_tax_step*(A202-1)</f>
        <v>0.164</v>
      </c>
      <c r="E202" s="1" t="n">
        <f aca="false">IF(A202=1,0,ROUND(cost_market_stone*1*cost_growth^(A202-2)*IF(A202&lt;=4,stage_early,IF(A202&lt;=stage_mid_level,stage_mid,IF(A202&lt;=stage_late_level,stage_normal,stage_late))),0))</f>
        <v>338</v>
      </c>
      <c r="F202" s="1" t="n">
        <f aca="false">IF(A202=1,0,ROUND(cost_market_wood*1*cost_growth^(A202-2)*IF(A202&lt;=4,stage_early,IF(A202&lt;=stage_mid_level,stage_mid,IF(A202&lt;=stage_late_level,stage_normal,stage_late))),0))</f>
        <v>286</v>
      </c>
      <c r="G202" s="1" t="n">
        <f aca="false">IF(A202=1,0,ROUND(build_time_base_min*time_coef_market*time_growth^(A202-2)*IF(A202&lt;=4,stage_early,IF(A202&lt;=stage_mid_level,stage_mid,IF(A202&lt;=stage_late_level,stage_normal,stage_late)))/60,1))</f>
        <v>0.4</v>
      </c>
    </row>
    <row r="203" customFormat="false" ht="15" hidden="false" customHeight="false" outlineLevel="0" collapsed="false">
      <c r="A203" s="1" t="n">
        <v>8</v>
      </c>
      <c r="B203" s="1" t="n">
        <f aca="false">market_rate_base-market_rate_step*(A203-1)</f>
        <v>2.475</v>
      </c>
      <c r="C203" s="1" t="n">
        <f aca="false">ROUND(market_limit_base*market_limit_growth^(A203-1),0)</f>
        <v>717</v>
      </c>
      <c r="D203" s="1" t="n">
        <f aca="false">market_tax_base-market_tax_step*(A203-1)</f>
        <v>0.158</v>
      </c>
      <c r="E203" s="1" t="n">
        <f aca="false">IF(A203=1,0,ROUND(cost_market_stone*1*cost_growth^(A203-2)*IF(A203&lt;=4,stage_early,IF(A203&lt;=stage_mid_level,stage_mid,IF(A203&lt;=stage_late_level,stage_normal,stage_late))),0))</f>
        <v>439</v>
      </c>
      <c r="F203" s="1" t="n">
        <f aca="false">IF(A203=1,0,ROUND(cost_market_wood*1*cost_growth^(A203-2)*IF(A203&lt;=4,stage_early,IF(A203&lt;=stage_mid_level,stage_mid,IF(A203&lt;=stage_late_level,stage_normal,stage_late))),0))</f>
        <v>372</v>
      </c>
      <c r="G203" s="1" t="n">
        <f aca="false">IF(A203=1,0,ROUND(build_time_base_min*time_coef_market*time_growth^(A203-2)*IF(A203&lt;=4,stage_early,IF(A203&lt;=stage_mid_level,stage_mid,IF(A203&lt;=stage_late_level,stage_normal,stage_late)))/60,1))</f>
        <v>0.4</v>
      </c>
    </row>
    <row r="204" customFormat="false" ht="15" hidden="false" customHeight="false" outlineLevel="0" collapsed="false">
      <c r="A204" s="1" t="n">
        <v>9</v>
      </c>
      <c r="B204" s="1" t="n">
        <f aca="false">market_rate_base-market_rate_step*(A204-1)</f>
        <v>2.4</v>
      </c>
      <c r="C204" s="1" t="n">
        <f aca="false">ROUND(market_limit_base*market_limit_growth^(A204-1),0)</f>
        <v>860</v>
      </c>
      <c r="D204" s="1" t="n">
        <f aca="false">market_tax_base-market_tax_step*(A204-1)</f>
        <v>0.152</v>
      </c>
      <c r="E204" s="1" t="n">
        <f aca="false">IF(A204=1,0,ROUND(cost_market_stone*1*cost_growth^(A204-2)*IF(A204&lt;=4,stage_early,IF(A204&lt;=stage_mid_level,stage_mid,IF(A204&lt;=stage_late_level,stage_normal,stage_late))),0))</f>
        <v>571</v>
      </c>
      <c r="F204" s="1" t="n">
        <f aca="false">IF(A204=1,0,ROUND(cost_market_wood*1*cost_growth^(A204-2)*IF(A204&lt;=4,stage_early,IF(A204&lt;=stage_mid_level,stage_mid,IF(A204&lt;=stage_late_level,stage_normal,stage_late))),0))</f>
        <v>483</v>
      </c>
      <c r="G204" s="1" t="n">
        <f aca="false">IF(A204=1,0,ROUND(build_time_base_min*time_coef_market*time_growth^(A204-2)*IF(A204&lt;=4,stage_early,IF(A204&lt;=stage_mid_level,stage_mid,IF(A204&lt;=stage_late_level,stage_normal,stage_late)))/60,1))</f>
        <v>0.6</v>
      </c>
    </row>
    <row r="205" customFormat="false" ht="15" hidden="false" customHeight="false" outlineLevel="0" collapsed="false">
      <c r="A205" s="1" t="n">
        <v>10</v>
      </c>
      <c r="B205" s="1" t="n">
        <f aca="false">market_rate_base-market_rate_step*(A205-1)</f>
        <v>2.325</v>
      </c>
      <c r="C205" s="1" t="n">
        <f aca="false">ROUND(market_limit_base*market_limit_growth^(A205-1),0)</f>
        <v>1032</v>
      </c>
      <c r="D205" s="1" t="n">
        <f aca="false">market_tax_base-market_tax_step*(A205-1)</f>
        <v>0.146</v>
      </c>
      <c r="E205" s="1" t="n">
        <f aca="false">IF(A205=1,0,ROUND(cost_market_stone*1*cost_growth^(A205-2)*IF(A205&lt;=4,stage_early,IF(A205&lt;=stage_mid_level,stage_mid,IF(A205&lt;=stage_late_level,stage_normal,stage_late))),0))</f>
        <v>742</v>
      </c>
      <c r="F205" s="1" t="n">
        <f aca="false">IF(A205=1,0,ROUND(cost_market_wood*1*cost_growth^(A205-2)*IF(A205&lt;=4,stage_early,IF(A205&lt;=stage_mid_level,stage_mid,IF(A205&lt;=stage_late_level,stage_normal,stage_late))),0))</f>
        <v>628</v>
      </c>
      <c r="G205" s="1" t="n">
        <f aca="false">IF(A205=1,0,ROUND(build_time_base_min*time_coef_market*time_growth^(A205-2)*IF(A205&lt;=4,stage_early,IF(A205&lt;=stage_mid_level,stage_mid,IF(A205&lt;=stage_late_level,stage_normal,stage_late)))/60,1))</f>
        <v>0.7</v>
      </c>
    </row>
    <row r="206" customFormat="false" ht="15" hidden="false" customHeight="false" outlineLevel="0" collapsed="false">
      <c r="A206" s="1" t="n">
        <v>11</v>
      </c>
      <c r="B206" s="1" t="n">
        <f aca="false">market_rate_base-market_rate_step*(A206-1)</f>
        <v>2.25</v>
      </c>
      <c r="C206" s="1" t="n">
        <f aca="false">ROUND(market_limit_base*market_limit_growth^(A206-1),0)</f>
        <v>1238</v>
      </c>
      <c r="D206" s="1" t="n">
        <f aca="false">market_tax_base-market_tax_step*(A206-1)</f>
        <v>0.14</v>
      </c>
      <c r="E206" s="1" t="n">
        <f aca="false">IF(A206=1,0,ROUND(cost_market_stone*1*cost_growth^(A206-2)*IF(A206&lt;=4,stage_early,IF(A206&lt;=stage_mid_level,stage_mid,IF(A206&lt;=stage_late_level,stage_normal,stage_late))),0))</f>
        <v>1379</v>
      </c>
      <c r="F206" s="1" t="n">
        <f aca="false">IF(A206=1,0,ROUND(cost_market_wood*1*cost_growth^(A206-2)*IF(A206&lt;=4,stage_early,IF(A206&lt;=stage_mid_level,stage_mid,IF(A206&lt;=stage_late_level,stage_normal,stage_late))),0))</f>
        <v>1166</v>
      </c>
      <c r="G206" s="1" t="n">
        <f aca="false">IF(A206=1,0,ROUND(build_time_base_min*time_coef_market*time_growth^(A206-2)*IF(A206&lt;=4,stage_early,IF(A206&lt;=stage_mid_level,stage_mid,IF(A206&lt;=stage_late_level,stage_normal,stage_late)))/60,1))</f>
        <v>1.2</v>
      </c>
    </row>
    <row r="207" customFormat="false" ht="15" hidden="false" customHeight="false" outlineLevel="0" collapsed="false">
      <c r="A207" s="1" t="n">
        <v>12</v>
      </c>
      <c r="B207" s="1" t="n">
        <f aca="false">market_rate_base-market_rate_step*(A207-1)</f>
        <v>2.175</v>
      </c>
      <c r="C207" s="1" t="n">
        <f aca="false">ROUND(market_limit_base*market_limit_growth^(A207-1),0)</f>
        <v>1486</v>
      </c>
      <c r="D207" s="1" t="n">
        <f aca="false">market_tax_base-market_tax_step*(A207-1)</f>
        <v>0.134</v>
      </c>
      <c r="E207" s="1" t="n">
        <f aca="false">IF(A207=1,0,ROUND(cost_market_stone*1*cost_growth^(A207-2)*IF(A207&lt;=4,stage_early,IF(A207&lt;=stage_mid_level,stage_mid,IF(A207&lt;=stage_late_level,stage_normal,stage_late))),0))</f>
        <v>1792</v>
      </c>
      <c r="F207" s="1" t="n">
        <f aca="false">IF(A207=1,0,ROUND(cost_market_wood*1*cost_growth^(A207-2)*IF(A207&lt;=4,stage_early,IF(A207&lt;=stage_mid_level,stage_mid,IF(A207&lt;=stage_late_level,stage_normal,stage_late))),0))</f>
        <v>1516</v>
      </c>
      <c r="G207" s="1" t="n">
        <f aca="false">IF(A207=1,0,ROUND(build_time_base_min*time_coef_market*time_growth^(A207-2)*IF(A207&lt;=4,stage_early,IF(A207&lt;=stage_mid_level,stage_mid,IF(A207&lt;=stage_late_level,stage_normal,stage_late)))/60,1))</f>
        <v>1.6</v>
      </c>
    </row>
    <row r="208" customFormat="false" ht="15" hidden="false" customHeight="false" outlineLevel="0" collapsed="false">
      <c r="A208" s="1" t="n">
        <v>13</v>
      </c>
      <c r="B208" s="1" t="n">
        <f aca="false">market_rate_base-market_rate_step*(A208-1)</f>
        <v>2.1</v>
      </c>
      <c r="C208" s="1" t="n">
        <f aca="false">ROUND(market_limit_base*market_limit_growth^(A208-1),0)</f>
        <v>1783</v>
      </c>
      <c r="D208" s="1" t="n">
        <f aca="false">market_tax_base-market_tax_step*(A208-1)</f>
        <v>0.128</v>
      </c>
      <c r="E208" s="1" t="n">
        <f aca="false">IF(A208=1,0,ROUND(cost_market_stone*1*cost_growth^(A208-2)*IF(A208&lt;=4,stage_early,IF(A208&lt;=stage_mid_level,stage_mid,IF(A208&lt;=stage_late_level,stage_normal,stage_late))),0))</f>
        <v>2330</v>
      </c>
      <c r="F208" s="1" t="n">
        <f aca="false">IF(A208=1,0,ROUND(cost_market_wood*1*cost_growth^(A208-2)*IF(A208&lt;=4,stage_early,IF(A208&lt;=stage_mid_level,stage_mid,IF(A208&lt;=stage_late_level,stage_normal,stage_late))),0))</f>
        <v>1971</v>
      </c>
      <c r="G208" s="1" t="n">
        <f aca="false">IF(A208=1,0,ROUND(build_time_base_min*time_coef_market*time_growth^(A208-2)*IF(A208&lt;=4,stage_early,IF(A208&lt;=stage_mid_level,stage_mid,IF(A208&lt;=stage_late_level,stage_normal,stage_late)))/60,1))</f>
        <v>1.9</v>
      </c>
    </row>
    <row r="209" customFormat="false" ht="15" hidden="false" customHeight="false" outlineLevel="0" collapsed="false">
      <c r="A209" s="1" t="n">
        <v>14</v>
      </c>
      <c r="B209" s="1" t="n">
        <f aca="false">market_rate_base-market_rate_step*(A209-1)</f>
        <v>2.025</v>
      </c>
      <c r="C209" s="1" t="n">
        <f aca="false">ROUND(market_limit_base*market_limit_growth^(A209-1),0)</f>
        <v>2140</v>
      </c>
      <c r="D209" s="1" t="n">
        <f aca="false">market_tax_base-market_tax_step*(A209-1)</f>
        <v>0.122</v>
      </c>
      <c r="E209" s="1" t="n">
        <f aca="false">IF(A209=1,0,ROUND(cost_market_stone*1*cost_growth^(A209-2)*IF(A209&lt;=4,stage_early,IF(A209&lt;=stage_mid_level,stage_mid,IF(A209&lt;=stage_late_level,stage_normal,stage_late))),0))</f>
        <v>3029</v>
      </c>
      <c r="F209" s="1" t="n">
        <f aca="false">IF(A209=1,0,ROUND(cost_market_wood*1*cost_growth^(A209-2)*IF(A209&lt;=4,stage_early,IF(A209&lt;=stage_mid_level,stage_mid,IF(A209&lt;=stage_late_level,stage_normal,stage_late))),0))</f>
        <v>2563</v>
      </c>
      <c r="G209" s="1" t="n">
        <f aca="false">IF(A209=1,0,ROUND(build_time_base_min*time_coef_market*time_growth^(A209-2)*IF(A209&lt;=4,stage_early,IF(A209&lt;=stage_mid_level,stage_mid,IF(A209&lt;=stage_late_level,stage_normal,stage_late)))/60,1))</f>
        <v>2.4</v>
      </c>
    </row>
    <row r="210" customFormat="false" ht="15" hidden="false" customHeight="false" outlineLevel="0" collapsed="false">
      <c r="A210" s="1" t="n">
        <v>15</v>
      </c>
      <c r="B210" s="1" t="n">
        <f aca="false">market_rate_base-market_rate_step*(A210-1)</f>
        <v>1.95</v>
      </c>
      <c r="C210" s="1" t="n">
        <f aca="false">ROUND(market_limit_base*market_limit_growth^(A210-1),0)</f>
        <v>2568</v>
      </c>
      <c r="D210" s="1" t="n">
        <f aca="false">market_tax_base-market_tax_step*(A210-1)</f>
        <v>0.116</v>
      </c>
      <c r="E210" s="1" t="n">
        <f aca="false">IF(A210=1,0,ROUND(cost_market_stone*1*cost_growth^(A210-2)*IF(A210&lt;=4,stage_early,IF(A210&lt;=stage_mid_level,stage_mid,IF(A210&lt;=stage_late_level,stage_normal,stage_late))),0))</f>
        <v>3937</v>
      </c>
      <c r="F210" s="1" t="n">
        <f aca="false">IF(A210=1,0,ROUND(cost_market_wood*1*cost_growth^(A210-2)*IF(A210&lt;=4,stage_early,IF(A210&lt;=stage_mid_level,stage_mid,IF(A210&lt;=stage_late_level,stage_normal,stage_late))),0))</f>
        <v>3332</v>
      </c>
      <c r="G210" s="1" t="n">
        <f aca="false">IF(A210=1,0,ROUND(build_time_base_min*time_coef_market*time_growth^(A210-2)*IF(A210&lt;=4,stage_early,IF(A210&lt;=stage_mid_level,stage_mid,IF(A210&lt;=stage_late_level,stage_normal,stage_late)))/60,1))</f>
        <v>3</v>
      </c>
    </row>
    <row r="211" customFormat="false" ht="15" hidden="false" customHeight="false" outlineLevel="0" collapsed="false">
      <c r="A211" s="1" t="n">
        <v>16</v>
      </c>
      <c r="B211" s="1" t="n">
        <f aca="false">market_rate_base-market_rate_step*(A211-1)</f>
        <v>1.875</v>
      </c>
      <c r="C211" s="1" t="n">
        <f aca="false">ROUND(market_limit_base*market_limit_growth^(A211-1),0)</f>
        <v>3081</v>
      </c>
      <c r="D211" s="1" t="n">
        <f aca="false">market_tax_base-market_tax_step*(A211-1)</f>
        <v>0.11</v>
      </c>
      <c r="E211" s="1" t="n">
        <f aca="false">IF(A211=1,0,ROUND(cost_market_stone*1*cost_growth^(A211-2)*IF(A211&lt;=4,stage_early,IF(A211&lt;=stage_mid_level,stage_mid,IF(A211&lt;=stage_late_level,stage_normal,stage_late))),0))</f>
        <v>6398</v>
      </c>
      <c r="F211" s="1" t="n">
        <f aca="false">IF(A211=1,0,ROUND(cost_market_wood*1*cost_growth^(A211-2)*IF(A211&lt;=4,stage_early,IF(A211&lt;=stage_mid_level,stage_mid,IF(A211&lt;=stage_late_level,stage_normal,stage_late))),0))</f>
        <v>5414</v>
      </c>
      <c r="G211" s="1" t="n">
        <f aca="false">IF(A211=1,0,ROUND(build_time_base_min*time_coef_market*time_growth^(A211-2)*IF(A211&lt;=4,stage_early,IF(A211&lt;=stage_mid_level,stage_mid,IF(A211&lt;=stage_late_level,stage_normal,stage_late)))/60,1))</f>
        <v>4.7</v>
      </c>
    </row>
    <row r="212" customFormat="false" ht="15" hidden="false" customHeight="false" outlineLevel="0" collapsed="false">
      <c r="A212" s="1" t="n">
        <v>17</v>
      </c>
      <c r="B212" s="1" t="n">
        <f aca="false">market_rate_base-market_rate_step*(A212-1)</f>
        <v>1.8</v>
      </c>
      <c r="C212" s="1" t="n">
        <f aca="false">ROUND(market_limit_base*market_limit_growth^(A212-1),0)</f>
        <v>3698</v>
      </c>
      <c r="D212" s="1" t="n">
        <f aca="false">market_tax_base-market_tax_step*(A212-1)</f>
        <v>0.104</v>
      </c>
      <c r="E212" s="1" t="n">
        <f aca="false">IF(A212=1,0,ROUND(cost_market_stone*1*cost_growth^(A212-2)*IF(A212&lt;=4,stage_early,IF(A212&lt;=stage_mid_level,stage_mid,IF(A212&lt;=stage_late_level,stage_normal,stage_late))),0))</f>
        <v>8318</v>
      </c>
      <c r="F212" s="1" t="n">
        <f aca="false">IF(A212=1,0,ROUND(cost_market_wood*1*cost_growth^(A212-2)*IF(A212&lt;=4,stage_early,IF(A212&lt;=stage_mid_level,stage_mid,IF(A212&lt;=stage_late_level,stage_normal,stage_late))),0))</f>
        <v>7038</v>
      </c>
      <c r="G212" s="1" t="n">
        <f aca="false">IF(A212=1,0,ROUND(build_time_base_min*time_coef_market*time_growth^(A212-2)*IF(A212&lt;=4,stage_early,IF(A212&lt;=stage_mid_level,stage_mid,IF(A212&lt;=stage_late_level,stage_normal,stage_late)))/60,1))</f>
        <v>5.9</v>
      </c>
    </row>
    <row r="213" customFormat="false" ht="15" hidden="false" customHeight="false" outlineLevel="0" collapsed="false">
      <c r="A213" s="1" t="n">
        <v>18</v>
      </c>
      <c r="B213" s="1" t="n">
        <f aca="false">market_rate_base-market_rate_step*(A213-1)</f>
        <v>1.725</v>
      </c>
      <c r="C213" s="1" t="n">
        <f aca="false">ROUND(market_limit_base*market_limit_growth^(A213-1),0)</f>
        <v>4437</v>
      </c>
      <c r="D213" s="1" t="n">
        <f aca="false">market_tax_base-market_tax_step*(A213-1)</f>
        <v>0.098</v>
      </c>
      <c r="E213" s="1" t="n">
        <f aca="false">IF(A213=1,0,ROUND(cost_market_stone*1*cost_growth^(A213-2)*IF(A213&lt;=4,stage_early,IF(A213&lt;=stage_mid_level,stage_mid,IF(A213&lt;=stage_late_level,stage_normal,stage_late))),0))</f>
        <v>10813</v>
      </c>
      <c r="F213" s="1" t="n">
        <f aca="false">IF(A213=1,0,ROUND(cost_market_wood*1*cost_growth^(A213-2)*IF(A213&lt;=4,stage_early,IF(A213&lt;=stage_mid_level,stage_mid,IF(A213&lt;=stage_late_level,stage_normal,stage_late))),0))</f>
        <v>9149</v>
      </c>
      <c r="G213" s="1" t="n">
        <f aca="false">IF(A213=1,0,ROUND(build_time_base_min*time_coef_market*time_growth^(A213-2)*IF(A213&lt;=4,stage_early,IF(A213&lt;=stage_mid_level,stage_mid,IF(A213&lt;=stage_late_level,stage_normal,stage_late)))/60,1))</f>
        <v>7.4</v>
      </c>
    </row>
    <row r="214" customFormat="false" ht="15" hidden="false" customHeight="false" outlineLevel="0" collapsed="false">
      <c r="A214" s="1" t="n">
        <v>19</v>
      </c>
      <c r="B214" s="1" t="n">
        <f aca="false">market_rate_base-market_rate_step*(A214-1)</f>
        <v>1.65</v>
      </c>
      <c r="C214" s="1" t="n">
        <f aca="false">ROUND(market_limit_base*market_limit_growth^(A214-1),0)</f>
        <v>5325</v>
      </c>
      <c r="D214" s="1" t="n">
        <f aca="false">market_tax_base-market_tax_step*(A214-1)</f>
        <v>0.092</v>
      </c>
      <c r="E214" s="1" t="n">
        <f aca="false">IF(A214=1,0,ROUND(cost_market_stone*1*cost_growth^(A214-2)*IF(A214&lt;=4,stage_early,IF(A214&lt;=stage_mid_level,stage_mid,IF(A214&lt;=stage_late_level,stage_normal,stage_late))),0))</f>
        <v>14057</v>
      </c>
      <c r="F214" s="1" t="n">
        <f aca="false">IF(A214=1,0,ROUND(cost_market_wood*1*cost_growth^(A214-2)*IF(A214&lt;=4,stage_early,IF(A214&lt;=stage_mid_level,stage_mid,IF(A214&lt;=stage_late_level,stage_normal,stage_late))),0))</f>
        <v>11894</v>
      </c>
      <c r="G214" s="1" t="n">
        <f aca="false">IF(A214=1,0,ROUND(build_time_base_min*time_coef_market*time_growth^(A214-2)*IF(A214&lt;=4,stage_early,IF(A214&lt;=stage_mid_level,stage_mid,IF(A214&lt;=stage_late_level,stage_normal,stage_late)))/60,1))</f>
        <v>9.3</v>
      </c>
    </row>
    <row r="215" customFormat="false" ht="15" hidden="false" customHeight="false" outlineLevel="0" collapsed="false">
      <c r="A215" s="1" t="n">
        <v>20</v>
      </c>
      <c r="B215" s="1" t="n">
        <f aca="false">market_rate_base-market_rate_step*(A215-1)</f>
        <v>1.575</v>
      </c>
      <c r="C215" s="1" t="n">
        <f aca="false">ROUND(market_limit_base*market_limit_growth^(A215-1),0)</f>
        <v>6390</v>
      </c>
      <c r="D215" s="1" t="n">
        <f aca="false">market_tax_base-market_tax_step*(A215-1)</f>
        <v>0.086</v>
      </c>
      <c r="E215" s="1" t="n">
        <f aca="false">IF(A215=1,0,ROUND(cost_market_stone*1*cost_growth^(A215-2)*IF(A215&lt;=4,stage_early,IF(A215&lt;=stage_mid_level,stage_mid,IF(A215&lt;=stage_late_level,stage_normal,stage_late))),0))</f>
        <v>18274</v>
      </c>
      <c r="F215" s="1" t="n">
        <f aca="false">IF(A215=1,0,ROUND(cost_market_wood*1*cost_growth^(A215-2)*IF(A215&lt;=4,stage_early,IF(A215&lt;=stage_mid_level,stage_mid,IF(A215&lt;=stage_late_level,stage_normal,stage_late))),0))</f>
        <v>15463</v>
      </c>
      <c r="G215" s="1" t="n">
        <f aca="false">IF(A215=1,0,ROUND(build_time_base_min*time_coef_market*time_growth^(A215-2)*IF(A215&lt;=4,stage_early,IF(A215&lt;=stage_mid_level,stage_mid,IF(A215&lt;=stage_late_level,stage_normal,stage_late)))/60,1))</f>
        <v>11.6</v>
      </c>
    </row>
    <row r="216" customFormat="false" ht="15" hidden="false" customHeight="false" outlineLevel="0" collapsed="false">
      <c r="A216" s="1" t="n">
        <v>21</v>
      </c>
      <c r="B216" s="1" t="n">
        <f aca="false">market_rate_base-market_rate_step*(A216-1)</f>
        <v>1.5</v>
      </c>
      <c r="C216" s="1" t="n">
        <f aca="false">ROUND(market_limit_base*market_limit_growth^(A216-1),0)</f>
        <v>7668</v>
      </c>
      <c r="D216" s="1" t="n">
        <f aca="false">market_tax_base-market_tax_step*(A216-1)</f>
        <v>0.08</v>
      </c>
      <c r="E216" s="1" t="n">
        <f aca="false">IF(A216=1,0,ROUND(cost_market_stone*1*cost_growth^(A216-2)*IF(A216&lt;=4,stage_early,IF(A216&lt;=stage_mid_level,stage_mid,IF(A216&lt;=stage_late_level,stage_normal,stage_late))),0))</f>
        <v>23756</v>
      </c>
      <c r="F216" s="1" t="n">
        <f aca="false">IF(A216=1,0,ROUND(cost_market_wood*1*cost_growth^(A216-2)*IF(A216&lt;=4,stage_early,IF(A216&lt;=stage_mid_level,stage_mid,IF(A216&lt;=stage_late_level,stage_normal,stage_late))),0))</f>
        <v>20101</v>
      </c>
      <c r="G216" s="1" t="n">
        <f aca="false">IF(A216=1,0,ROUND(build_time_base_min*time_coef_market*time_growth^(A216-2)*IF(A216&lt;=4,stage_early,IF(A216&lt;=stage_mid_level,stage_mid,IF(A216&lt;=stage_late_level,stage_normal,stage_late)))/60,1))</f>
        <v>14.5</v>
      </c>
    </row>
    <row r="217" customFormat="false" ht="15" hidden="false" customHeight="false" outlineLevel="0" collapsed="false">
      <c r="A217" s="1" t="n">
        <v>22</v>
      </c>
      <c r="B217" s="1" t="n">
        <f aca="false">market_rate_base-market_rate_step*(A217-1)</f>
        <v>1.425</v>
      </c>
      <c r="C217" s="1" t="n">
        <f aca="false">ROUND(market_limit_base*market_limit_growth^(A217-1),0)</f>
        <v>9201</v>
      </c>
      <c r="D217" s="1" t="n">
        <f aca="false">market_tax_base-market_tax_step*(A217-1)</f>
        <v>0.074</v>
      </c>
      <c r="E217" s="1" t="n">
        <f aca="false">IF(A217=1,0,ROUND(cost_market_stone*1*cost_growth^(A217-2)*IF(A217&lt;=4,stage_early,IF(A217&lt;=stage_mid_level,stage_mid,IF(A217&lt;=stage_late_level,stage_normal,stage_late))),0))</f>
        <v>30883</v>
      </c>
      <c r="F217" s="1" t="n">
        <f aca="false">IF(A217=1,0,ROUND(cost_market_wood*1*cost_growth^(A217-2)*IF(A217&lt;=4,stage_early,IF(A217&lt;=stage_mid_level,stage_mid,IF(A217&lt;=stage_late_level,stage_normal,stage_late))),0))</f>
        <v>26132</v>
      </c>
      <c r="G217" s="1" t="n">
        <f aca="false">IF(A217=1,0,ROUND(build_time_base_min*time_coef_market*time_growth^(A217-2)*IF(A217&lt;=4,stage_early,IF(A217&lt;=stage_mid_level,stage_mid,IF(A217&lt;=stage_late_level,stage_normal,stage_late)))/60,1))</f>
        <v>18.1</v>
      </c>
    </row>
    <row r="218" customFormat="false" ht="15" hidden="false" customHeight="false" outlineLevel="0" collapsed="false">
      <c r="A218" s="1" t="n">
        <v>23</v>
      </c>
      <c r="B218" s="1" t="n">
        <f aca="false">market_rate_base-market_rate_step*(A218-1)</f>
        <v>1.35</v>
      </c>
      <c r="C218" s="1" t="n">
        <f aca="false">ROUND(market_limit_base*market_limit_growth^(A218-1),0)</f>
        <v>11041</v>
      </c>
      <c r="D218" s="1" t="n">
        <f aca="false">market_tax_base-market_tax_step*(A218-1)</f>
        <v>0.068</v>
      </c>
      <c r="E218" s="1" t="n">
        <f aca="false">IF(A218=1,0,ROUND(cost_market_stone*1*cost_growth^(A218-2)*IF(A218&lt;=4,stage_early,IF(A218&lt;=stage_mid_level,stage_mid,IF(A218&lt;=stage_late_level,stage_normal,stage_late))),0))</f>
        <v>40148</v>
      </c>
      <c r="F218" s="1" t="n">
        <f aca="false">IF(A218=1,0,ROUND(cost_market_wood*1*cost_growth^(A218-2)*IF(A218&lt;=4,stage_early,IF(A218&lt;=stage_mid_level,stage_mid,IF(A218&lt;=stage_late_level,stage_normal,stage_late))),0))</f>
        <v>33971</v>
      </c>
      <c r="G218" s="1" t="n">
        <f aca="false">IF(A218=1,0,ROUND(build_time_base_min*time_coef_market*time_growth^(A218-2)*IF(A218&lt;=4,stage_early,IF(A218&lt;=stage_mid_level,stage_mid,IF(A218&lt;=stage_late_level,stage_normal,stage_late)))/60,1))</f>
        <v>22.6</v>
      </c>
    </row>
    <row r="219" customFormat="false" ht="15" hidden="false" customHeight="false" outlineLevel="0" collapsed="false">
      <c r="A219" s="1" t="n">
        <v>24</v>
      </c>
      <c r="B219" s="1" t="n">
        <f aca="false">market_rate_base-market_rate_step*(A219-1)</f>
        <v>1.275</v>
      </c>
      <c r="C219" s="1" t="n">
        <f aca="false">ROUND(market_limit_base*market_limit_growth^(A219-1),0)</f>
        <v>13249</v>
      </c>
      <c r="D219" s="1" t="n">
        <f aca="false">market_tax_base-market_tax_step*(A219-1)</f>
        <v>0.062</v>
      </c>
      <c r="E219" s="1" t="n">
        <f aca="false">IF(A219=1,0,ROUND(cost_market_stone*1*cost_growth^(A219-2)*IF(A219&lt;=4,stage_early,IF(A219&lt;=stage_mid_level,stage_mid,IF(A219&lt;=stage_late_level,stage_normal,stage_late))),0))</f>
        <v>52192</v>
      </c>
      <c r="F219" s="1" t="n">
        <f aca="false">IF(A219=1,0,ROUND(cost_market_wood*1*cost_growth^(A219-2)*IF(A219&lt;=4,stage_early,IF(A219&lt;=stage_mid_level,stage_mid,IF(A219&lt;=stage_late_level,stage_normal,stage_late))),0))</f>
        <v>44163</v>
      </c>
      <c r="G219" s="1" t="n">
        <f aca="false">IF(A219=1,0,ROUND(build_time_base_min*time_coef_market*time_growth^(A219-2)*IF(A219&lt;=4,stage_early,IF(A219&lt;=stage_mid_level,stage_mid,IF(A219&lt;=stage_late_level,stage_normal,stage_late)))/60,1))</f>
        <v>28.2</v>
      </c>
    </row>
    <row r="220" customFormat="false" ht="15" hidden="false" customHeight="false" outlineLevel="0" collapsed="false">
      <c r="A220" s="1" t="n">
        <v>25</v>
      </c>
      <c r="B220" s="1" t="n">
        <f aca="false">market_rate_base-market_rate_step*(A220-1)</f>
        <v>1.2</v>
      </c>
      <c r="C220" s="1" t="n">
        <f aca="false">ROUND(market_limit_base*market_limit_growth^(A220-1),0)</f>
        <v>15899</v>
      </c>
      <c r="D220" s="1" t="n">
        <f aca="false">market_tax_base-market_tax_step*(A220-1)</f>
        <v>0.056</v>
      </c>
      <c r="E220" s="1" t="n">
        <f aca="false">IF(A220=1,0,ROUND(cost_market_stone*1*cost_growth^(A220-2)*IF(A220&lt;=4,stage_early,IF(A220&lt;=stage_mid_level,stage_mid,IF(A220&lt;=stage_late_level,stage_normal,stage_late))),0))</f>
        <v>67850</v>
      </c>
      <c r="F220" s="1" t="n">
        <f aca="false">IF(A220=1,0,ROUND(cost_market_wood*1*cost_growth^(A220-2)*IF(A220&lt;=4,stage_early,IF(A220&lt;=stage_mid_level,stage_mid,IF(A220&lt;=stage_late_level,stage_normal,stage_late))),0))</f>
        <v>57412</v>
      </c>
      <c r="G220" s="1" t="n">
        <f aca="false">IF(A220=1,0,ROUND(build_time_base_min*time_coef_market*time_growth^(A220-2)*IF(A220&lt;=4,stage_early,IF(A220&lt;=stage_mid_level,stage_mid,IF(A220&lt;=stage_late_level,stage_normal,stage_late)))/60,1))</f>
        <v>35.3</v>
      </c>
    </row>
    <row r="221" customFormat="false" ht="15" hidden="false" customHeight="false" outlineLevel="0" collapsed="false">
      <c r="A221" s="1" t="s">
        <v>162</v>
      </c>
    </row>
    <row r="222" customFormat="false" ht="15" hidden="false" customHeight="false" outlineLevel="0" collapsed="false">
      <c r="A222" s="1" t="s">
        <v>163</v>
      </c>
    </row>
    <row r="223" customFormat="false" ht="15" hidden="false" customHeight="false" outlineLevel="0" collapsed="false">
      <c r="A223" s="1" t="s">
        <v>164</v>
      </c>
    </row>
    <row r="224" customFormat="false" ht="15" hidden="false" customHeight="false" outlineLevel="0" collapsed="false">
      <c r="A224" s="1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X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3" customFormat="false" ht="15" hidden="false" customHeight="false" outlineLevel="0" collapsed="false">
      <c r="A3" s="1" t="s">
        <v>166</v>
      </c>
    </row>
    <row r="4" customFormat="false" ht="15" hidden="false" customHeight="false" outlineLevel="0" collapsed="false">
      <c r="A4" s="1" t="s">
        <v>167</v>
      </c>
    </row>
    <row r="5" customFormat="false" ht="15" hidden="false" customHeight="false" outlineLevel="0" collapsed="false">
      <c r="A5" s="2" t="s">
        <v>2</v>
      </c>
      <c r="B5" s="2" t="s">
        <v>3</v>
      </c>
      <c r="C5" s="2" t="s">
        <v>5</v>
      </c>
      <c r="D5" s="2" t="s">
        <v>11</v>
      </c>
      <c r="E5" s="2" t="s">
        <v>15</v>
      </c>
      <c r="F5" s="2" t="s">
        <v>16</v>
      </c>
      <c r="G5" s="2" t="s">
        <v>168</v>
      </c>
      <c r="H5" s="2" t="s">
        <v>110</v>
      </c>
      <c r="I5" s="2" t="s">
        <v>169</v>
      </c>
      <c r="J5" s="2" t="s">
        <v>107</v>
      </c>
      <c r="K5" s="2" t="s">
        <v>170</v>
      </c>
      <c r="L5" s="2" t="s">
        <v>171</v>
      </c>
      <c r="M5" s="2" t="s">
        <v>172</v>
      </c>
      <c r="N5" s="2" t="s">
        <v>173</v>
      </c>
      <c r="O5" s="2" t="s">
        <v>174</v>
      </c>
      <c r="P5" s="2" t="s">
        <v>18</v>
      </c>
      <c r="Q5" s="2" t="s">
        <v>175</v>
      </c>
      <c r="R5" s="2" t="s">
        <v>176</v>
      </c>
      <c r="S5" s="2" t="s">
        <v>177</v>
      </c>
      <c r="T5" s="2" t="s">
        <v>178</v>
      </c>
      <c r="U5" s="2" t="s">
        <v>179</v>
      </c>
      <c r="V5" s="2" t="s">
        <v>180</v>
      </c>
      <c r="W5" s="2" t="s">
        <v>181</v>
      </c>
      <c r="X5" s="2" t="s">
        <v>182</v>
      </c>
    </row>
    <row r="6" customFormat="false" ht="15" hidden="false" customHeight="false" outlineLevel="0" collapsed="false">
      <c r="A6" s="1" t="n">
        <v>1</v>
      </c>
      <c r="B6" s="1" t="str">
        <f aca="false">Darajalar!B6</f>
        <v>Honsyu boʻrisi</v>
      </c>
      <c r="C6" s="1" t="str">
        <f aca="false">Darajalar!D6</f>
        <v>Haqiqiy</v>
      </c>
      <c r="D6" s="1" t="n">
        <f aca="false">Darajalar!J6</f>
        <v>0</v>
      </c>
      <c r="E6" s="1" t="n">
        <f aca="false">Darajalar!N6</f>
        <v>69</v>
      </c>
      <c r="F6" s="1" t="n">
        <f aca="false">Darajalar!O6</f>
        <v>1</v>
      </c>
      <c r="G6" s="1" t="n">
        <f aca="false">Oziqlanish!E6</f>
        <v>1</v>
      </c>
      <c r="H6" s="1" t="n">
        <f aca="false">Oziqlanish!J6</f>
        <v>2</v>
      </c>
      <c r="I6" s="1" t="n">
        <f aca="false">Oziqlanish!F6</f>
        <v>0</v>
      </c>
      <c r="J6" s="1" t="n">
        <f aca="false">Oziqlanish!G6</f>
        <v>0</v>
      </c>
      <c r="K6" s="1" t="n">
        <f aca="false">Oziqlanish!L6</f>
        <v>1</v>
      </c>
      <c r="L6" s="1" t="n">
        <f aca="false">ROUND((INDEX(Binolar!$F$7:$F$31,MIN(25,K6+1))+INDEX(Binolar!$G$7:$G$31,MIN(25,K6+1)))/build_plan_days,0)</f>
        <v>9</v>
      </c>
      <c r="M6" s="1" t="n">
        <f aca="false">COUNTIF(Binolar!$C$34:$C$58,"&lt;"&amp;L6)+1</f>
        <v>1</v>
      </c>
      <c r="N6" s="1" t="n">
        <f aca="false">ROUND(4*'Askar iqtisodi'!F24*hunter_yield_mult*Oziqlanish!C6*hunt_duration_min/60,0)</f>
        <v>12</v>
      </c>
      <c r="O6" s="1" t="str">
        <f aca="false">IF(C6="Haqiqiy","Asosiy oʻyin",IF(C6="Qadimgi","Qadimgi bosqich","Afsona bosqichi"))</f>
        <v>Asosiy oʻyin</v>
      </c>
      <c r="P6" s="1" t="s">
        <v>22</v>
      </c>
      <c r="Q6" s="1" t="n">
        <f aca="false">'Askar iqtisodi'!G24</f>
        <v>1</v>
      </c>
      <c r="R6" s="1" t="n">
        <f aca="false">'Askar iqtisodi'!C24</f>
        <v>0</v>
      </c>
      <c r="S6" s="1" t="n">
        <f aca="false">'Askar iqtisodi'!D24</f>
        <v>0</v>
      </c>
      <c r="T6" s="1" t="n">
        <f aca="false">'Askar iqtisodi'!E24</f>
        <v>0</v>
      </c>
      <c r="U6" s="1" t="n">
        <f aca="false">'Askar iqtisodi'!F24</f>
        <v>1</v>
      </c>
      <c r="V6" s="1" t="n">
        <f aca="false">IF(Q6&lt;=1,1,Q6*tier_step_building)</f>
        <v>1</v>
      </c>
      <c r="W6" s="1" t="n">
        <f aca="false">ROUND((R6*(Rollar!$E$7*cp_w_power+Rollar!$F$7*cp_w_speed+Rollar!$G$7*cp_w_hp)+S6*(Rollar!$E$8*cp_w_power+Rollar!$F$8*cp_w_speed+Rollar!$G$8*cp_w_hp)+T6*(Rollar!$E$9*cp_w_power+Rollar!$F$9*cp_w_speed+Rollar!$G$9*cp_w_hp)+U6*(Rollar!$E$10*cp_w_power+Rollar!$F$10*cp_w_speed+Rollar!$G$10*cp_w_hp))*tier_coef^(Q6-1)*(1+alpha_bonus*A6),0)</f>
        <v>63</v>
      </c>
      <c r="X6" s="1" t="n">
        <f aca="false">ROUND(W6/$W$6,1)</f>
        <v>1</v>
      </c>
    </row>
    <row r="7" customFormat="false" ht="15" hidden="false" customHeight="false" outlineLevel="0" collapsed="false">
      <c r="A7" s="1" t="n">
        <v>2</v>
      </c>
      <c r="B7" s="1" t="str">
        <f aca="false">Darajalar!B7</f>
        <v>Efiopiya boʻrisi</v>
      </c>
      <c r="C7" s="1" t="str">
        <f aca="false">Darajalar!D7</f>
        <v>Haqiqiy</v>
      </c>
      <c r="D7" s="1" t="n">
        <f aca="false">Darajalar!J7</f>
        <v>30</v>
      </c>
      <c r="E7" s="1" t="n">
        <f aca="false">Darajalar!N7</f>
        <v>81</v>
      </c>
      <c r="F7" s="1" t="n">
        <f aca="false">Darajalar!O7</f>
        <v>1</v>
      </c>
      <c r="G7" s="1" t="n">
        <f aca="false">Oziqlanish!E7</f>
        <v>1</v>
      </c>
      <c r="H7" s="1" t="n">
        <f aca="false">Oziqlanish!J7</f>
        <v>1</v>
      </c>
      <c r="I7" s="1" t="n">
        <f aca="false">Oziqlanish!F7</f>
        <v>0</v>
      </c>
      <c r="J7" s="1" t="n">
        <f aca="false">Oziqlanish!G7</f>
        <v>0</v>
      </c>
      <c r="K7" s="1" t="n">
        <f aca="false">Oziqlanish!L7</f>
        <v>1</v>
      </c>
      <c r="L7" s="1" t="n">
        <f aca="false">ROUND((INDEX(Binolar!$F$7:$F$31,MIN(25,K7+1))+INDEX(Binolar!$G$7:$G$31,MIN(25,K7+1)))/build_plan_days,0)</f>
        <v>9</v>
      </c>
      <c r="M7" s="1" t="n">
        <f aca="false">COUNTIF(Binolar!$C$34:$C$58,"&lt;"&amp;L7)+1</f>
        <v>1</v>
      </c>
      <c r="N7" s="1" t="n">
        <f aca="false">ROUND(4*'Askar iqtisodi'!F25*hunter_yield_mult*Oziqlanish!C7*hunt_duration_min/60,0)</f>
        <v>14</v>
      </c>
      <c r="O7" s="1" t="str">
        <f aca="false">IF(C7="Haqiqiy","Asosiy oʻyin",IF(C7="Qadimgi","Qadimgi bosqich","Afsona bosqichi"))</f>
        <v>Asosiy oʻyin</v>
      </c>
      <c r="P7" s="1" t="s">
        <v>25</v>
      </c>
      <c r="Q7" s="1" t="n">
        <f aca="false">'Askar iqtisodi'!G25</f>
        <v>1</v>
      </c>
      <c r="R7" s="1" t="n">
        <f aca="false">'Askar iqtisodi'!C25</f>
        <v>0</v>
      </c>
      <c r="S7" s="1" t="n">
        <f aca="false">'Askar iqtisodi'!D25</f>
        <v>0</v>
      </c>
      <c r="T7" s="1" t="n">
        <f aca="false">'Askar iqtisodi'!E25</f>
        <v>0</v>
      </c>
      <c r="U7" s="1" t="n">
        <f aca="false">'Askar iqtisodi'!F25</f>
        <v>1</v>
      </c>
      <c r="V7" s="1" t="n">
        <f aca="false">IF(Q7&lt;=1,1,Q7*tier_step_building)</f>
        <v>1</v>
      </c>
      <c r="W7" s="1" t="n">
        <f aca="false">ROUND((R7*(Rollar!$E$7*cp_w_power+Rollar!$F$7*cp_w_speed+Rollar!$G$7*cp_w_hp)+S7*(Rollar!$E$8*cp_w_power+Rollar!$F$8*cp_w_speed+Rollar!$G$8*cp_w_hp)+T7*(Rollar!$E$9*cp_w_power+Rollar!$F$9*cp_w_speed+Rollar!$G$9*cp_w_hp)+U7*(Rollar!$E$10*cp_w_power+Rollar!$F$10*cp_w_speed+Rollar!$G$10*cp_w_hp))*tier_coef^(Q7-1)*(1+alpha_bonus*A7),0)</f>
        <v>65</v>
      </c>
      <c r="X7" s="1" t="n">
        <f aca="false">ROUND(W7/$W$6,1)</f>
        <v>1</v>
      </c>
    </row>
    <row r="8" customFormat="false" ht="15" hidden="false" customHeight="false" outlineLevel="0" collapsed="false">
      <c r="A8" s="1" t="n">
        <v>3</v>
      </c>
      <c r="B8" s="1" t="str">
        <f aca="false">Darajalar!B8</f>
        <v>Arab boʻrisi</v>
      </c>
      <c r="C8" s="1" t="str">
        <f aca="false">Darajalar!D8</f>
        <v>Haqiqiy</v>
      </c>
      <c r="D8" s="1" t="n">
        <f aca="false">Darajalar!J8</f>
        <v>70</v>
      </c>
      <c r="E8" s="1" t="n">
        <f aca="false">Darajalar!N8</f>
        <v>97</v>
      </c>
      <c r="F8" s="1" t="n">
        <f aca="false">Darajalar!O8</f>
        <v>1</v>
      </c>
      <c r="G8" s="1" t="n">
        <f aca="false">Oziqlanish!E8</f>
        <v>1</v>
      </c>
      <c r="H8" s="1" t="n">
        <f aca="false">Oziqlanish!J8</f>
        <v>1</v>
      </c>
      <c r="I8" s="1" t="n">
        <f aca="false">Oziqlanish!F8</f>
        <v>0</v>
      </c>
      <c r="J8" s="1" t="n">
        <f aca="false">Oziqlanish!G8</f>
        <v>0</v>
      </c>
      <c r="K8" s="1" t="n">
        <f aca="false">Oziqlanish!L8</f>
        <v>1</v>
      </c>
      <c r="L8" s="1" t="n">
        <f aca="false">ROUND((INDEX(Binolar!$F$7:$F$31,MIN(25,K8+1))+INDEX(Binolar!$G$7:$G$31,MIN(25,K8+1)))/build_plan_days,0)</f>
        <v>9</v>
      </c>
      <c r="M8" s="1" t="n">
        <f aca="false">COUNTIF(Binolar!$C$34:$C$58,"&lt;"&amp;L8)+1</f>
        <v>1</v>
      </c>
      <c r="N8" s="1" t="n">
        <f aca="false">ROUND(4*'Askar iqtisodi'!F26*hunter_yield_mult*Oziqlanish!C8*hunt_duration_min/60,0)</f>
        <v>16</v>
      </c>
      <c r="O8" s="1" t="str">
        <f aca="false">IF(C8="Haqiqiy","Asosiy oʻyin",IF(C8="Qadimgi","Qadimgi bosqich","Afsona bosqichi"))</f>
        <v>Asosiy oʻyin</v>
      </c>
      <c r="P8" s="1" t="s">
        <v>28</v>
      </c>
      <c r="Q8" s="1" t="n">
        <f aca="false">'Askar iqtisodi'!G26</f>
        <v>1</v>
      </c>
      <c r="R8" s="1" t="n">
        <f aca="false">'Askar iqtisodi'!C26</f>
        <v>0</v>
      </c>
      <c r="S8" s="1" t="n">
        <f aca="false">'Askar iqtisodi'!D26</f>
        <v>0</v>
      </c>
      <c r="T8" s="1" t="n">
        <f aca="false">'Askar iqtisodi'!E26</f>
        <v>0</v>
      </c>
      <c r="U8" s="1" t="n">
        <f aca="false">'Askar iqtisodi'!F26</f>
        <v>1</v>
      </c>
      <c r="V8" s="1" t="n">
        <f aca="false">IF(Q8&lt;=1,1,Q8*tier_step_building)</f>
        <v>1</v>
      </c>
      <c r="W8" s="1" t="n">
        <f aca="false">ROUND((R8*(Rollar!$E$7*cp_w_power+Rollar!$F$7*cp_w_speed+Rollar!$G$7*cp_w_hp)+S8*(Rollar!$E$8*cp_w_power+Rollar!$F$8*cp_w_speed+Rollar!$G$8*cp_w_hp)+T8*(Rollar!$E$9*cp_w_power+Rollar!$F$9*cp_w_speed+Rollar!$G$9*cp_w_hp)+U8*(Rollar!$E$10*cp_w_power+Rollar!$F$10*cp_w_speed+Rollar!$G$10*cp_w_hp))*tier_coef^(Q8-1)*(1+alpha_bonus*A8),0)</f>
        <v>66</v>
      </c>
      <c r="X8" s="1" t="n">
        <f aca="false">ROUND(W8/$W$6,1)</f>
        <v>1</v>
      </c>
    </row>
    <row r="9" customFormat="false" ht="15" hidden="false" customHeight="false" outlineLevel="0" collapsed="false">
      <c r="A9" s="1" t="n">
        <v>4</v>
      </c>
      <c r="B9" s="1" t="str">
        <f aca="false">Darajalar!B9</f>
        <v>Hind boʻrisi</v>
      </c>
      <c r="C9" s="1" t="str">
        <f aca="false">Darajalar!D9</f>
        <v>Haqiqiy</v>
      </c>
      <c r="D9" s="1" t="n">
        <f aca="false">Darajalar!J9</f>
        <v>130</v>
      </c>
      <c r="E9" s="1" t="n">
        <f aca="false">Darajalar!N9</f>
        <v>114</v>
      </c>
      <c r="F9" s="1" t="n">
        <f aca="false">Darajalar!O9</f>
        <v>10</v>
      </c>
      <c r="G9" s="1" t="n">
        <f aca="false">Oziqlanish!E9</f>
        <v>9</v>
      </c>
      <c r="H9" s="1" t="n">
        <f aca="false">Oziqlanish!J9</f>
        <v>2</v>
      </c>
      <c r="I9" s="1" t="n">
        <f aca="false">Oziqlanish!F9</f>
        <v>5</v>
      </c>
      <c r="J9" s="1" t="n">
        <f aca="false">Oziqlanish!G9</f>
        <v>0</v>
      </c>
      <c r="K9" s="1" t="n">
        <f aca="false">Oziqlanish!L9</f>
        <v>1</v>
      </c>
      <c r="L9" s="1" t="n">
        <f aca="false">ROUND((INDEX(Binolar!$F$7:$F$31,MIN(25,K9+1))+INDEX(Binolar!$G$7:$G$31,MIN(25,K9+1)))/build_plan_days,0)</f>
        <v>9</v>
      </c>
      <c r="M9" s="1" t="n">
        <f aca="false">COUNTIF(Binolar!$C$34:$C$58,"&lt;"&amp;L9)+1</f>
        <v>1</v>
      </c>
      <c r="N9" s="1" t="n">
        <f aca="false">ROUND(4*'Askar iqtisodi'!F27*hunter_yield_mult*Oziqlanish!C9*hunt_duration_min/60,0)</f>
        <v>36</v>
      </c>
      <c r="O9" s="1" t="str">
        <f aca="false">IF(C9="Haqiqiy","Asosiy oʻyin",IF(C9="Qadimgi","Qadimgi bosqich","Afsona bosqichi"))</f>
        <v>Asosiy oʻyin</v>
      </c>
      <c r="P9" s="1" t="s">
        <v>31</v>
      </c>
      <c r="Q9" s="1" t="n">
        <f aca="false">'Askar iqtisodi'!G27</f>
        <v>1</v>
      </c>
      <c r="R9" s="1" t="n">
        <f aca="false">'Askar iqtisodi'!C27</f>
        <v>2</v>
      </c>
      <c r="S9" s="1" t="n">
        <f aca="false">'Askar iqtisodi'!D27</f>
        <v>4</v>
      </c>
      <c r="T9" s="1" t="n">
        <f aca="false">'Askar iqtisodi'!E27</f>
        <v>2</v>
      </c>
      <c r="U9" s="1" t="n">
        <f aca="false">'Askar iqtisodi'!F27</f>
        <v>2</v>
      </c>
      <c r="V9" s="1" t="n">
        <f aca="false">IF(Q9&lt;=1,1,Q9*tier_step_building)</f>
        <v>1</v>
      </c>
      <c r="W9" s="1" t="n">
        <f aca="false">ROUND((R9*(Rollar!$E$7*cp_w_power+Rollar!$F$7*cp_w_speed+Rollar!$G$7*cp_w_hp)+S9*(Rollar!$E$8*cp_w_power+Rollar!$F$8*cp_w_speed+Rollar!$G$8*cp_w_hp)+T9*(Rollar!$E$9*cp_w_power+Rollar!$F$9*cp_w_speed+Rollar!$G$9*cp_w_hp)+U9*(Rollar!$E$10*cp_w_power+Rollar!$F$10*cp_w_speed+Rollar!$G$10*cp_w_hp))*tier_coef^(Q9-1)*(1+alpha_bonus*A9),0)</f>
        <v>822</v>
      </c>
      <c r="X9" s="1" t="n">
        <f aca="false">ROUND(W9/$W$6,1)</f>
        <v>13</v>
      </c>
    </row>
    <row r="10" customFormat="false" ht="15" hidden="false" customHeight="false" outlineLevel="0" collapsed="false">
      <c r="A10" s="1" t="n">
        <v>5</v>
      </c>
      <c r="B10" s="1" t="str">
        <f aca="false">Darajalar!B10</f>
        <v>Qizil boʻri</v>
      </c>
      <c r="C10" s="1" t="str">
        <f aca="false">Darajalar!D10</f>
        <v>Haqiqiy</v>
      </c>
      <c r="D10" s="1" t="n">
        <f aca="false">Darajalar!J10</f>
        <v>280</v>
      </c>
      <c r="E10" s="1" t="n">
        <f aca="false">Darajalar!N10</f>
        <v>135</v>
      </c>
      <c r="F10" s="1" t="n">
        <f aca="false">Darajalar!O10</f>
        <v>12</v>
      </c>
      <c r="G10" s="1" t="n">
        <f aca="false">Oziqlanish!E10</f>
        <v>12</v>
      </c>
      <c r="H10" s="1" t="n">
        <f aca="false">Oziqlanish!J10</f>
        <v>1</v>
      </c>
      <c r="I10" s="1" t="n">
        <f aca="false">Oziqlanish!F10</f>
        <v>7</v>
      </c>
      <c r="J10" s="1" t="n">
        <f aca="false">Oziqlanish!G10</f>
        <v>0</v>
      </c>
      <c r="K10" s="1" t="n">
        <f aca="false">Oziqlanish!L10</f>
        <v>1</v>
      </c>
      <c r="L10" s="1" t="n">
        <f aca="false">ROUND((INDEX(Binolar!$F$7:$F$31,MIN(25,K10+1))+INDEX(Binolar!$G$7:$G$31,MIN(25,K10+1)))/build_plan_days,0)</f>
        <v>9</v>
      </c>
      <c r="M10" s="1" t="n">
        <f aca="false">COUNTIF(Binolar!$C$34:$C$58,"&lt;"&amp;L10)+1</f>
        <v>1</v>
      </c>
      <c r="N10" s="1" t="n">
        <f aca="false">ROUND(4*'Askar iqtisodi'!F28*hunter_yield_mult*Oziqlanish!C10*hunt_duration_min/60,0)</f>
        <v>40</v>
      </c>
      <c r="O10" s="1" t="str">
        <f aca="false">IF(C10="Haqiqiy","Asosiy oʻyin",IF(C10="Qadimgi","Qadimgi bosqich","Afsona bosqichi"))</f>
        <v>Asosiy oʻyin</v>
      </c>
      <c r="P10" s="1" t="s">
        <v>34</v>
      </c>
      <c r="Q10" s="1" t="n">
        <f aca="false">'Askar iqtisodi'!G28</f>
        <v>1</v>
      </c>
      <c r="R10" s="1" t="n">
        <f aca="false">'Askar iqtisodi'!C28</f>
        <v>2</v>
      </c>
      <c r="S10" s="1" t="n">
        <f aca="false">'Askar iqtisodi'!D28</f>
        <v>6</v>
      </c>
      <c r="T10" s="1" t="n">
        <f aca="false">'Askar iqtisodi'!E28</f>
        <v>2</v>
      </c>
      <c r="U10" s="1" t="n">
        <f aca="false">'Askar iqtisodi'!F28</f>
        <v>2</v>
      </c>
      <c r="V10" s="1" t="n">
        <f aca="false">IF(Q10&lt;=1,1,Q10*tier_step_building)</f>
        <v>1</v>
      </c>
      <c r="W10" s="1" t="n">
        <f aca="false">ROUND((R10*(Rollar!$E$7*cp_w_power+Rollar!$F$7*cp_w_speed+Rollar!$G$7*cp_w_hp)+S10*(Rollar!$E$8*cp_w_power+Rollar!$F$8*cp_w_speed+Rollar!$G$8*cp_w_hp)+T10*(Rollar!$E$9*cp_w_power+Rollar!$F$9*cp_w_speed+Rollar!$G$9*cp_w_hp)+U10*(Rollar!$E$10*cp_w_power+Rollar!$F$10*cp_w_speed+Rollar!$G$10*cp_w_hp))*tier_coef^(Q10-1)*(1+alpha_bonus*A10),0)</f>
        <v>1029</v>
      </c>
      <c r="X10" s="1" t="n">
        <f aca="false">ROUND(W10/$W$6,1)</f>
        <v>16.3</v>
      </c>
    </row>
    <row r="11" customFormat="false" ht="15" hidden="false" customHeight="false" outlineLevel="0" collapsed="false">
      <c r="A11" s="1" t="n">
        <v>6</v>
      </c>
      <c r="B11" s="1" t="str">
        <f aca="false">Darajalar!B11</f>
        <v>Italyan boʻrisi</v>
      </c>
      <c r="C11" s="1" t="str">
        <f aca="false">Darajalar!D11</f>
        <v>Haqiqiy</v>
      </c>
      <c r="D11" s="1" t="n">
        <f aca="false">Darajalar!J11</f>
        <v>480</v>
      </c>
      <c r="E11" s="1" t="n">
        <f aca="false">Darajalar!N11</f>
        <v>159</v>
      </c>
      <c r="F11" s="1" t="n">
        <f aca="false">Darajalar!O11</f>
        <v>14</v>
      </c>
      <c r="G11" s="1" t="n">
        <f aca="false">Oziqlanish!E11</f>
        <v>15</v>
      </c>
      <c r="H11" s="1" t="n">
        <f aca="false">Oziqlanish!J11</f>
        <v>1</v>
      </c>
      <c r="I11" s="1" t="n">
        <f aca="false">Oziqlanish!F11</f>
        <v>8</v>
      </c>
      <c r="J11" s="1" t="n">
        <f aca="false">Oziqlanish!G11</f>
        <v>0</v>
      </c>
      <c r="K11" s="1" t="n">
        <f aca="false">Oziqlanish!L11</f>
        <v>2</v>
      </c>
      <c r="L11" s="1" t="n">
        <f aca="false">ROUND((INDEX(Binolar!$F$7:$F$31,MIN(25,K11+1))+INDEX(Binolar!$G$7:$G$31,MIN(25,K11+1)))/build_plan_days,0)</f>
        <v>12</v>
      </c>
      <c r="M11" s="1" t="n">
        <f aca="false">COUNTIF(Binolar!$C$34:$C$58,"&lt;"&amp;L11)+1</f>
        <v>1</v>
      </c>
      <c r="N11" s="1" t="n">
        <f aca="false">ROUND(4*'Askar iqtisodi'!F29*hunter_yield_mult*Oziqlanish!C11*hunt_duration_min/60,0)</f>
        <v>44</v>
      </c>
      <c r="O11" s="1" t="str">
        <f aca="false">IF(C11="Haqiqiy","Asosiy oʻyin",IF(C11="Qadimgi","Qadimgi bosqich","Afsona bosqichi"))</f>
        <v>Asosiy oʻyin</v>
      </c>
      <c r="P11" s="1" t="s">
        <v>37</v>
      </c>
      <c r="Q11" s="1" t="n">
        <f aca="false">'Askar iqtisodi'!G29</f>
        <v>1</v>
      </c>
      <c r="R11" s="1" t="n">
        <f aca="false">'Askar iqtisodi'!C29</f>
        <v>3</v>
      </c>
      <c r="S11" s="1" t="n">
        <f aca="false">'Askar iqtisodi'!D29</f>
        <v>6</v>
      </c>
      <c r="T11" s="1" t="n">
        <f aca="false">'Askar iqtisodi'!E29</f>
        <v>3</v>
      </c>
      <c r="U11" s="1" t="n">
        <f aca="false">'Askar iqtisodi'!F29</f>
        <v>2</v>
      </c>
      <c r="V11" s="1" t="n">
        <f aca="false">IF(Q11&lt;=1,1,Q11*tier_step_building)</f>
        <v>1</v>
      </c>
      <c r="W11" s="1" t="n">
        <f aca="false">ROUND((R11*(Rollar!$E$7*cp_w_power+Rollar!$F$7*cp_w_speed+Rollar!$G$7*cp_w_hp)+S11*(Rollar!$E$8*cp_w_power+Rollar!$F$8*cp_w_speed+Rollar!$G$8*cp_w_hp)+T11*(Rollar!$E$9*cp_w_power+Rollar!$F$9*cp_w_speed+Rollar!$G$9*cp_w_hp)+U11*(Rollar!$E$10*cp_w_power+Rollar!$F$10*cp_w_speed+Rollar!$G$10*cp_w_hp))*tier_coef^(Q11-1)*(1+alpha_bonus*A11),0)</f>
        <v>1227</v>
      </c>
      <c r="X11" s="1" t="n">
        <f aca="false">ROUND(W11/$W$6,1)</f>
        <v>19.5</v>
      </c>
    </row>
    <row r="12" customFormat="false" ht="15" hidden="false" customHeight="false" outlineLevel="0" collapsed="false">
      <c r="A12" s="1" t="n">
        <v>7</v>
      </c>
      <c r="B12" s="1" t="str">
        <f aca="false">Darajalar!B12</f>
        <v>Meksika boʻrisi</v>
      </c>
      <c r="C12" s="1" t="str">
        <f aca="false">Darajalar!D12</f>
        <v>Haqiqiy</v>
      </c>
      <c r="D12" s="1" t="n">
        <f aca="false">Darajalar!J12</f>
        <v>760</v>
      </c>
      <c r="E12" s="1" t="n">
        <f aca="false">Darajalar!N12</f>
        <v>188</v>
      </c>
      <c r="F12" s="1" t="n">
        <f aca="false">Darajalar!O12</f>
        <v>17</v>
      </c>
      <c r="G12" s="1" t="n">
        <f aca="false">Oziqlanish!E12</f>
        <v>20</v>
      </c>
      <c r="H12" s="1" t="n">
        <f aca="false">Oziqlanish!J12</f>
        <v>1</v>
      </c>
      <c r="I12" s="1" t="n">
        <f aca="false">Oziqlanish!F12</f>
        <v>11</v>
      </c>
      <c r="J12" s="1" t="n">
        <f aca="false">Oziqlanish!G12</f>
        <v>0</v>
      </c>
      <c r="K12" s="1" t="n">
        <f aca="false">Oziqlanish!L12</f>
        <v>4</v>
      </c>
      <c r="L12" s="1" t="n">
        <f aca="false">ROUND((INDEX(Binolar!$F$7:$F$31,MIN(25,K12+1))+INDEX(Binolar!$G$7:$G$31,MIN(25,K12+1)))/build_plan_days,0)</f>
        <v>35</v>
      </c>
      <c r="M12" s="1" t="n">
        <f aca="false">COUNTIF(Binolar!$C$34:$C$58,"&lt;"&amp;L12)+1</f>
        <v>1</v>
      </c>
      <c r="N12" s="1" t="n">
        <f aca="false">ROUND(4*'Askar iqtisodi'!F30*hunter_yield_mult*Oziqlanish!C12*hunt_duration_min/60,0)</f>
        <v>72</v>
      </c>
      <c r="O12" s="1" t="str">
        <f aca="false">IF(C12="Haqiqiy","Asosiy oʻyin",IF(C12="Qadimgi","Qadimgi bosqich","Afsona bosqichi"))</f>
        <v>Asosiy oʻyin</v>
      </c>
      <c r="P12" s="1" t="s">
        <v>40</v>
      </c>
      <c r="Q12" s="1" t="n">
        <f aca="false">'Askar iqtisodi'!G30</f>
        <v>1</v>
      </c>
      <c r="R12" s="1" t="n">
        <f aca="false">'Askar iqtisodi'!C30</f>
        <v>3</v>
      </c>
      <c r="S12" s="1" t="n">
        <f aca="false">'Askar iqtisodi'!D30</f>
        <v>8</v>
      </c>
      <c r="T12" s="1" t="n">
        <f aca="false">'Askar iqtisodi'!E30</f>
        <v>3</v>
      </c>
      <c r="U12" s="1" t="n">
        <f aca="false">'Askar iqtisodi'!F30</f>
        <v>3</v>
      </c>
      <c r="V12" s="1" t="n">
        <f aca="false">IF(Q12&lt;=1,1,Q12*tier_step_building)</f>
        <v>1</v>
      </c>
      <c r="W12" s="1" t="n">
        <f aca="false">ROUND((R12*(Rollar!$E$7*cp_w_power+Rollar!$F$7*cp_w_speed+Rollar!$G$7*cp_w_hp)+S12*(Rollar!$E$8*cp_w_power+Rollar!$F$8*cp_w_speed+Rollar!$G$8*cp_w_hp)+T12*(Rollar!$E$9*cp_w_power+Rollar!$F$9*cp_w_speed+Rollar!$G$9*cp_w_hp)+U12*(Rollar!$E$10*cp_w_power+Rollar!$F$10*cp_w_speed+Rollar!$G$10*cp_w_hp))*tier_coef^(Q12-1)*(1+alpha_bonus*A12),0)</f>
        <v>1527</v>
      </c>
      <c r="X12" s="1" t="n">
        <f aca="false">ROUND(W12/$W$6,1)</f>
        <v>24.2</v>
      </c>
    </row>
    <row r="13" customFormat="false" ht="15" hidden="false" customHeight="false" outlineLevel="0" collapsed="false">
      <c r="A13" s="1" t="n">
        <v>8</v>
      </c>
      <c r="B13" s="1" t="str">
        <f aca="false">Darajalar!B13</f>
        <v>Sharqiy boʻri</v>
      </c>
      <c r="C13" s="1" t="str">
        <f aca="false">Darajalar!D13</f>
        <v>Haqiqiy</v>
      </c>
      <c r="D13" s="1" t="n">
        <f aca="false">Darajalar!J13</f>
        <v>1150</v>
      </c>
      <c r="E13" s="1" t="n">
        <f aca="false">Darajalar!N13</f>
        <v>223</v>
      </c>
      <c r="F13" s="1" t="n">
        <f aca="false">Darajalar!O13</f>
        <v>21</v>
      </c>
      <c r="G13" s="1" t="n">
        <f aca="false">Oziqlanish!E13</f>
        <v>27</v>
      </c>
      <c r="H13" s="1" t="n">
        <f aca="false">Oziqlanish!J13</f>
        <v>1</v>
      </c>
      <c r="I13" s="1" t="n">
        <f aca="false">Oziqlanish!F13</f>
        <v>14</v>
      </c>
      <c r="J13" s="1" t="n">
        <f aca="false">Oziqlanish!G13</f>
        <v>0</v>
      </c>
      <c r="K13" s="1" t="n">
        <f aca="false">Oziqlanish!L13</f>
        <v>5</v>
      </c>
      <c r="L13" s="1" t="n">
        <f aca="false">ROUND((INDEX(Binolar!$F$7:$F$31,MIN(25,K13+1))+INDEX(Binolar!$G$7:$G$31,MIN(25,K13+1)))/build_plan_days,0)</f>
        <v>46</v>
      </c>
      <c r="M13" s="1" t="n">
        <f aca="false">COUNTIF(Binolar!$C$34:$C$58,"&lt;"&amp;L13)+1</f>
        <v>1</v>
      </c>
      <c r="N13" s="1" t="n">
        <f aca="false">ROUND(4*'Askar iqtisodi'!F31*hunter_yield_mult*Oziqlanish!C13*hunt_duration_min/60,0)</f>
        <v>78</v>
      </c>
      <c r="O13" s="1" t="str">
        <f aca="false">IF(C13="Haqiqiy","Asosiy oʻyin",IF(C13="Qadimgi","Qadimgi bosqich","Afsona bosqichi"))</f>
        <v>Asosiy oʻyin</v>
      </c>
      <c r="P13" s="1" t="s">
        <v>43</v>
      </c>
      <c r="Q13" s="1" t="n">
        <f aca="false">'Askar iqtisodi'!G31</f>
        <v>2</v>
      </c>
      <c r="R13" s="1" t="n">
        <f aca="false">'Askar iqtisodi'!C31</f>
        <v>4</v>
      </c>
      <c r="S13" s="1" t="n">
        <f aca="false">'Askar iqtisodi'!D31</f>
        <v>10</v>
      </c>
      <c r="T13" s="1" t="n">
        <f aca="false">'Askar iqtisodi'!E31</f>
        <v>4</v>
      </c>
      <c r="U13" s="1" t="n">
        <f aca="false">'Askar iqtisodi'!F31</f>
        <v>3</v>
      </c>
      <c r="V13" s="1" t="n">
        <f aca="false">IF(Q13&lt;=1,1,Q13*tier_step_building)</f>
        <v>8</v>
      </c>
      <c r="W13" s="1" t="n">
        <f aca="false">ROUND((R13*(Rollar!$E$7*cp_w_power+Rollar!$F$7*cp_w_speed+Rollar!$G$7*cp_w_hp)+S13*(Rollar!$E$8*cp_w_power+Rollar!$F$8*cp_w_speed+Rollar!$G$8*cp_w_hp)+T13*(Rollar!$E$9*cp_w_power+Rollar!$F$9*cp_w_speed+Rollar!$G$9*cp_w_hp)+U13*(Rollar!$E$10*cp_w_power+Rollar!$F$10*cp_w_speed+Rollar!$G$10*cp_w_hp))*tier_coef^(Q13-1)*(1+alpha_bonus*A13),0)</f>
        <v>2819</v>
      </c>
      <c r="X13" s="1" t="n">
        <f aca="false">ROUND(W13/$W$6,1)</f>
        <v>44.7</v>
      </c>
    </row>
    <row r="14" customFormat="false" ht="15" hidden="false" customHeight="false" outlineLevel="0" collapsed="false">
      <c r="A14" s="1" t="n">
        <v>9</v>
      </c>
      <c r="B14" s="1" t="str">
        <f aca="false">Darajalar!B14</f>
        <v>Iberiya boʻrisi</v>
      </c>
      <c r="C14" s="1" t="str">
        <f aca="false">Darajalar!D14</f>
        <v>Haqiqiy</v>
      </c>
      <c r="D14" s="1" t="n">
        <f aca="false">Darajalar!J14</f>
        <v>1680</v>
      </c>
      <c r="E14" s="1" t="n">
        <f aca="false">Darajalar!N14</f>
        <v>264</v>
      </c>
      <c r="F14" s="1" t="n">
        <f aca="false">Darajalar!O14</f>
        <v>25</v>
      </c>
      <c r="G14" s="1" t="n">
        <f aca="false">Oziqlanish!E14</f>
        <v>35</v>
      </c>
      <c r="H14" s="1" t="n">
        <f aca="false">Oziqlanish!J14</f>
        <v>1</v>
      </c>
      <c r="I14" s="1" t="n">
        <f aca="false">Oziqlanish!F14</f>
        <v>18</v>
      </c>
      <c r="J14" s="1" t="n">
        <f aca="false">Oziqlanish!G14</f>
        <v>0</v>
      </c>
      <c r="K14" s="1" t="n">
        <f aca="false">Oziqlanish!L14</f>
        <v>6</v>
      </c>
      <c r="L14" s="1" t="n">
        <f aca="false">ROUND((INDEX(Binolar!$F$7:$F$31,MIN(25,K14+1))+INDEX(Binolar!$G$7:$G$31,MIN(25,K14+1)))/build_plan_days,0)</f>
        <v>59</v>
      </c>
      <c r="M14" s="1" t="n">
        <f aca="false">COUNTIF(Binolar!$C$34:$C$58,"&lt;"&amp;L14)+1</f>
        <v>1</v>
      </c>
      <c r="N14" s="1" t="n">
        <f aca="false">ROUND(4*'Askar iqtisodi'!F32*hunter_yield_mult*Oziqlanish!C14*hunt_duration_min/60,0)</f>
        <v>112</v>
      </c>
      <c r="O14" s="1" t="str">
        <f aca="false">IF(C14="Haqiqiy","Asosiy oʻyin",IF(C14="Qadimgi","Qadimgi bosqich","Afsona bosqichi"))</f>
        <v>Asosiy oʻyin</v>
      </c>
      <c r="P14" s="1" t="s">
        <v>46</v>
      </c>
      <c r="Q14" s="1" t="n">
        <f aca="false">'Askar iqtisodi'!G32</f>
        <v>2</v>
      </c>
      <c r="R14" s="1" t="n">
        <f aca="false">'Askar iqtisodi'!C32</f>
        <v>5</v>
      </c>
      <c r="S14" s="1" t="n">
        <f aca="false">'Askar iqtisodi'!D32</f>
        <v>11</v>
      </c>
      <c r="T14" s="1" t="n">
        <f aca="false">'Askar iqtisodi'!E32</f>
        <v>5</v>
      </c>
      <c r="U14" s="1" t="n">
        <f aca="false">'Askar iqtisodi'!F32</f>
        <v>4</v>
      </c>
      <c r="V14" s="1" t="n">
        <f aca="false">IF(Q14&lt;=1,1,Q14*tier_step_building)</f>
        <v>8</v>
      </c>
      <c r="W14" s="1" t="n">
        <f aca="false">ROUND((R14*(Rollar!$E$7*cp_w_power+Rollar!$F$7*cp_w_speed+Rollar!$G$7*cp_w_hp)+S14*(Rollar!$E$8*cp_w_power+Rollar!$F$8*cp_w_speed+Rollar!$G$8*cp_w_hp)+T14*(Rollar!$E$9*cp_w_power+Rollar!$F$9*cp_w_speed+Rollar!$G$9*cp_w_hp)+U14*(Rollar!$E$10*cp_w_power+Rollar!$F$10*cp_w_speed+Rollar!$G$10*cp_w_hp))*tier_coef^(Q14-1)*(1+alpha_bonus*A14),0)</f>
        <v>3415</v>
      </c>
      <c r="X14" s="1" t="n">
        <f aca="false">ROUND(W14/$W$6,1)</f>
        <v>54.2</v>
      </c>
    </row>
    <row r="15" customFormat="false" ht="15" hidden="false" customHeight="false" outlineLevel="0" collapsed="false">
      <c r="A15" s="1" t="n">
        <v>10</v>
      </c>
      <c r="B15" s="1" t="str">
        <f aca="false">Darajalar!B15</f>
        <v>Dasht boʻrisi</v>
      </c>
      <c r="C15" s="1" t="str">
        <f aca="false">Darajalar!D15</f>
        <v>Haqiqiy</v>
      </c>
      <c r="D15" s="1" t="n">
        <f aca="false">Darajalar!J15</f>
        <v>2420</v>
      </c>
      <c r="E15" s="1" t="n">
        <f aca="false">Darajalar!N15</f>
        <v>315</v>
      </c>
      <c r="F15" s="1" t="n">
        <f aca="false">Darajalar!O15</f>
        <v>30</v>
      </c>
      <c r="G15" s="1" t="n">
        <f aca="false">Oziqlanish!E15</f>
        <v>45</v>
      </c>
      <c r="H15" s="1" t="n">
        <f aca="false">Oziqlanish!J15</f>
        <v>1</v>
      </c>
      <c r="I15" s="1" t="n">
        <f aca="false">Oziqlanish!F15</f>
        <v>23</v>
      </c>
      <c r="J15" s="1" t="n">
        <f aca="false">Oziqlanish!G15</f>
        <v>0</v>
      </c>
      <c r="K15" s="1" t="n">
        <f aca="false">Oziqlanish!L15</f>
        <v>8</v>
      </c>
      <c r="L15" s="1" t="n">
        <f aca="false">ROUND((INDEX(Binolar!$F$7:$F$31,MIN(25,K15+1))+INDEX(Binolar!$G$7:$G$31,MIN(25,K15+1)))/build_plan_days,0)</f>
        <v>100</v>
      </c>
      <c r="M15" s="1" t="n">
        <f aca="false">COUNTIF(Binolar!$C$34:$C$58,"&lt;"&amp;L15)+1</f>
        <v>1</v>
      </c>
      <c r="N15" s="1" t="n">
        <f aca="false">ROUND(4*'Askar iqtisodi'!F33*hunter_yield_mult*Oziqlanish!C15*hunt_duration_min/60,0)</f>
        <v>150</v>
      </c>
      <c r="O15" s="1" t="str">
        <f aca="false">IF(C15="Haqiqiy","Asosiy oʻyin",IF(C15="Qadimgi","Qadimgi bosqich","Afsona bosqichi"))</f>
        <v>Asosiy oʻyin</v>
      </c>
      <c r="P15" s="1" t="s">
        <v>49</v>
      </c>
      <c r="Q15" s="1" t="n">
        <f aca="false">'Askar iqtisodi'!G33</f>
        <v>2</v>
      </c>
      <c r="R15" s="1" t="n">
        <f aca="false">'Askar iqtisodi'!C33</f>
        <v>6</v>
      </c>
      <c r="S15" s="1" t="n">
        <f aca="false">'Askar iqtisodi'!D33</f>
        <v>13</v>
      </c>
      <c r="T15" s="1" t="n">
        <f aca="false">'Askar iqtisodi'!E33</f>
        <v>6</v>
      </c>
      <c r="U15" s="1" t="n">
        <f aca="false">'Askar iqtisodi'!F33</f>
        <v>5</v>
      </c>
      <c r="V15" s="1" t="n">
        <f aca="false">IF(Q15&lt;=1,1,Q15*tier_step_building)</f>
        <v>8</v>
      </c>
      <c r="W15" s="1" t="n">
        <f aca="false">ROUND((R15*(Rollar!$E$7*cp_w_power+Rollar!$F$7*cp_w_speed+Rollar!$G$7*cp_w_hp)+S15*(Rollar!$E$8*cp_w_power+Rollar!$F$8*cp_w_speed+Rollar!$G$8*cp_w_hp)+T15*(Rollar!$E$9*cp_w_power+Rollar!$F$9*cp_w_speed+Rollar!$G$9*cp_w_hp)+U15*(Rollar!$E$10*cp_w_power+Rollar!$F$10*cp_w_speed+Rollar!$G$10*cp_w_hp))*tier_coef^(Q15-1)*(1+alpha_bonus*A15),0)</f>
        <v>4188</v>
      </c>
      <c r="X15" s="1" t="n">
        <f aca="false">ROUND(W15/$W$6,1)</f>
        <v>66.5</v>
      </c>
    </row>
    <row r="16" customFormat="false" ht="15" hidden="false" customHeight="false" outlineLevel="0" collapsed="false">
      <c r="A16" s="1" t="n">
        <v>11</v>
      </c>
      <c r="B16" s="1" t="str">
        <f aca="false">Darajalar!B16</f>
        <v>Himolay boʻrisi</v>
      </c>
      <c r="C16" s="1" t="str">
        <f aca="false">Darajalar!D16</f>
        <v>Haqiqiy</v>
      </c>
      <c r="D16" s="1" t="n">
        <f aca="false">Darajalar!J16</f>
        <v>3870</v>
      </c>
      <c r="E16" s="1" t="n">
        <f aca="false">Darajalar!N16</f>
        <v>372</v>
      </c>
      <c r="F16" s="1" t="n">
        <f aca="false">Darajalar!O16</f>
        <v>36</v>
      </c>
      <c r="G16" s="1" t="n">
        <f aca="false">Oziqlanish!E16</f>
        <v>58</v>
      </c>
      <c r="H16" s="1" t="n">
        <f aca="false">Oziqlanish!J16</f>
        <v>1</v>
      </c>
      <c r="I16" s="1" t="n">
        <f aca="false">Oziqlanish!F16</f>
        <v>29</v>
      </c>
      <c r="J16" s="1" t="n">
        <f aca="false">Oziqlanish!G16</f>
        <v>0</v>
      </c>
      <c r="K16" s="1" t="n">
        <f aca="false">Oziqlanish!L16</f>
        <v>9</v>
      </c>
      <c r="L16" s="1" t="n">
        <f aca="false">ROUND((INDEX(Binolar!$F$7:$F$31,MIN(25,K16+1))+INDEX(Binolar!$G$7:$G$31,MIN(25,K16+1)))/build_plan_days,0)</f>
        <v>131</v>
      </c>
      <c r="M16" s="1" t="n">
        <f aca="false">COUNTIF(Binolar!$C$34:$C$58,"&lt;"&amp;L16)+1</f>
        <v>1</v>
      </c>
      <c r="N16" s="1" t="n">
        <f aca="false">ROUND(4*'Askar iqtisodi'!F34*hunter_yield_mult*Oziqlanish!C16*hunt_duration_min/60,0)</f>
        <v>160</v>
      </c>
      <c r="O16" s="1" t="str">
        <f aca="false">IF(C16="Haqiqiy","Asosiy oʻyin",IF(C16="Qadimgi","Qadimgi bosqich","Afsona bosqichi"))</f>
        <v>Asosiy oʻyin</v>
      </c>
      <c r="P16" s="1" t="s">
        <v>52</v>
      </c>
      <c r="Q16" s="1" t="n">
        <f aca="false">'Askar iqtisodi'!G34</f>
        <v>2</v>
      </c>
      <c r="R16" s="1" t="n">
        <f aca="false">'Askar iqtisodi'!C34</f>
        <v>7</v>
      </c>
      <c r="S16" s="1" t="n">
        <f aca="false">'Askar iqtisodi'!D34</f>
        <v>17</v>
      </c>
      <c r="T16" s="1" t="n">
        <f aca="false">'Askar iqtisodi'!E34</f>
        <v>7</v>
      </c>
      <c r="U16" s="1" t="n">
        <f aca="false">'Askar iqtisodi'!F34</f>
        <v>5</v>
      </c>
      <c r="V16" s="1" t="n">
        <f aca="false">IF(Q16&lt;=1,1,Q16*tier_step_building)</f>
        <v>8</v>
      </c>
      <c r="W16" s="1" t="n">
        <f aca="false">ROUND((R16*(Rollar!$E$7*cp_w_power+Rollar!$F$7*cp_w_speed+Rollar!$G$7*cp_w_hp)+S16*(Rollar!$E$8*cp_w_power+Rollar!$F$8*cp_w_speed+Rollar!$G$8*cp_w_hp)+T16*(Rollar!$E$9*cp_w_power+Rollar!$F$9*cp_w_speed+Rollar!$G$9*cp_w_hp)+U16*(Rollar!$E$10*cp_w_power+Rollar!$F$10*cp_w_speed+Rollar!$G$10*cp_w_hp))*tier_coef^(Q16-1)*(1+alpha_bonus*A16),0)</f>
        <v>5185</v>
      </c>
      <c r="X16" s="1" t="n">
        <f aca="false">ROUND(W16/$W$6,1)</f>
        <v>82.3</v>
      </c>
    </row>
    <row r="17" customFormat="false" ht="15" hidden="false" customHeight="false" outlineLevel="0" collapsed="false">
      <c r="A17" s="1" t="n">
        <v>12</v>
      </c>
      <c r="B17" s="1" t="str">
        <f aca="false">Darajalar!B17</f>
        <v>Ezo boʻrisi</v>
      </c>
      <c r="C17" s="1" t="str">
        <f aca="false">Darajalar!D17</f>
        <v>Haqiqiy</v>
      </c>
      <c r="D17" s="1" t="n">
        <f aca="false">Darajalar!J17</f>
        <v>5870</v>
      </c>
      <c r="E17" s="1" t="n">
        <f aca="false">Darajalar!N17</f>
        <v>440</v>
      </c>
      <c r="F17" s="1" t="n">
        <f aca="false">Darajalar!O17</f>
        <v>43</v>
      </c>
      <c r="G17" s="1" t="n">
        <f aca="false">Oziqlanish!E17</f>
        <v>73</v>
      </c>
      <c r="H17" s="1" t="n">
        <f aca="false">Oziqlanish!J17</f>
        <v>1</v>
      </c>
      <c r="I17" s="1" t="n">
        <f aca="false">Oziqlanish!F17</f>
        <v>36</v>
      </c>
      <c r="J17" s="1" t="n">
        <f aca="false">Oziqlanish!G17</f>
        <v>0</v>
      </c>
      <c r="K17" s="1" t="n">
        <f aca="false">Oziqlanish!L17</f>
        <v>10</v>
      </c>
      <c r="L17" s="1" t="n">
        <f aca="false">ROUND((INDEX(Binolar!$F$7:$F$31,MIN(25,K17+1))+INDEX(Binolar!$G$7:$G$31,MIN(25,K17+1)))/build_plan_days,0)</f>
        <v>242</v>
      </c>
      <c r="M17" s="1" t="n">
        <f aca="false">COUNTIF(Binolar!$C$34:$C$58,"&lt;"&amp;L17)+1</f>
        <v>1</v>
      </c>
      <c r="N17" s="1" t="n">
        <f aca="false">ROUND(4*'Askar iqtisodi'!F35*hunter_yield_mult*Oziqlanish!C17*hunt_duration_min/60,0)</f>
        <v>204</v>
      </c>
      <c r="O17" s="1" t="str">
        <f aca="false">IF(C17="Haqiqiy","Asosiy oʻyin",IF(C17="Qadimgi","Qadimgi bosqich","Afsona bosqichi"))</f>
        <v>Asosiy oʻyin</v>
      </c>
      <c r="P17" s="1" t="s">
        <v>55</v>
      </c>
      <c r="Q17" s="1" t="n">
        <f aca="false">'Askar iqtisodi'!G35</f>
        <v>3</v>
      </c>
      <c r="R17" s="1" t="n">
        <f aca="false">'Askar iqtisodi'!C35</f>
        <v>9</v>
      </c>
      <c r="S17" s="1" t="n">
        <f aca="false">'Askar iqtisodi'!D35</f>
        <v>19</v>
      </c>
      <c r="T17" s="1" t="n">
        <f aca="false">'Askar iqtisodi'!E35</f>
        <v>9</v>
      </c>
      <c r="U17" s="1" t="n">
        <f aca="false">'Askar iqtisodi'!F35</f>
        <v>6</v>
      </c>
      <c r="V17" s="1" t="n">
        <f aca="false">IF(Q17&lt;=1,1,Q17*tier_step_building)</f>
        <v>12</v>
      </c>
      <c r="W17" s="1" t="n">
        <f aca="false">ROUND((R17*(Rollar!$E$7*cp_w_power+Rollar!$F$7*cp_w_speed+Rollar!$G$7*cp_w_hp)+S17*(Rollar!$E$8*cp_w_power+Rollar!$F$8*cp_w_speed+Rollar!$G$8*cp_w_hp)+T17*(Rollar!$E$9*cp_w_power+Rollar!$F$9*cp_w_speed+Rollar!$G$9*cp_w_hp)+U17*(Rollar!$E$10*cp_w_power+Rollar!$F$10*cp_w_speed+Rollar!$G$10*cp_w_hp))*tier_coef^(Q17-1)*(1+alpha_bonus*A17),0)</f>
        <v>9152</v>
      </c>
      <c r="X17" s="1" t="n">
        <f aca="false">ROUND(W17/$W$6,1)</f>
        <v>145.3</v>
      </c>
    </row>
    <row r="18" customFormat="false" ht="15" hidden="false" customHeight="false" outlineLevel="0" collapsed="false">
      <c r="A18" s="1" t="n">
        <v>13</v>
      </c>
      <c r="B18" s="1" t="str">
        <f aca="false">Darajalar!B18</f>
        <v>Tibet boʻrisi</v>
      </c>
      <c r="C18" s="1" t="str">
        <f aca="false">Darajalar!D18</f>
        <v>Haqiqiy</v>
      </c>
      <c r="D18" s="1" t="n">
        <f aca="false">Darajalar!J18</f>
        <v>8640</v>
      </c>
      <c r="E18" s="1" t="n">
        <f aca="false">Darajalar!N18</f>
        <v>521</v>
      </c>
      <c r="F18" s="1" t="n">
        <f aca="false">Darajalar!O18</f>
        <v>52</v>
      </c>
      <c r="G18" s="1" t="n">
        <f aca="false">Oziqlanish!E18</f>
        <v>94</v>
      </c>
      <c r="H18" s="1" t="n">
        <f aca="false">Oziqlanish!J18</f>
        <v>1</v>
      </c>
      <c r="I18" s="1" t="n">
        <f aca="false">Oziqlanish!F18</f>
        <v>46</v>
      </c>
      <c r="J18" s="1" t="n">
        <f aca="false">Oziqlanish!G18</f>
        <v>0</v>
      </c>
      <c r="K18" s="1" t="n">
        <f aca="false">Oziqlanish!L18</f>
        <v>11</v>
      </c>
      <c r="L18" s="1" t="n">
        <f aca="false">ROUND((INDEX(Binolar!$F$7:$F$31,MIN(25,K18+1))+INDEX(Binolar!$G$7:$G$31,MIN(25,K18+1)))/build_plan_days,0)</f>
        <v>315</v>
      </c>
      <c r="M18" s="1" t="n">
        <f aca="false">COUNTIF(Binolar!$C$34:$C$58,"&lt;"&amp;L18)+1</f>
        <v>1</v>
      </c>
      <c r="N18" s="1" t="n">
        <f aca="false">ROUND(4*'Askar iqtisodi'!F36*hunter_yield_mult*Oziqlanish!C18*hunt_duration_min/60,0)</f>
        <v>288</v>
      </c>
      <c r="O18" s="1" t="str">
        <f aca="false">IF(C18="Haqiqiy","Asosiy oʻyin",IF(C18="Qadimgi","Qadimgi bosqich","Afsona bosqichi"))</f>
        <v>Asosiy oʻyin</v>
      </c>
      <c r="P18" s="1" t="s">
        <v>58</v>
      </c>
      <c r="Q18" s="1" t="n">
        <f aca="false">'Askar iqtisodi'!G36</f>
        <v>3</v>
      </c>
      <c r="R18" s="1" t="n">
        <f aca="false">'Askar iqtisodi'!C36</f>
        <v>10</v>
      </c>
      <c r="S18" s="1" t="n">
        <f aca="false">'Askar iqtisodi'!D36</f>
        <v>24</v>
      </c>
      <c r="T18" s="1" t="n">
        <f aca="false">'Askar iqtisodi'!E36</f>
        <v>10</v>
      </c>
      <c r="U18" s="1" t="n">
        <f aca="false">'Askar iqtisodi'!F36</f>
        <v>8</v>
      </c>
      <c r="V18" s="1" t="n">
        <f aca="false">IF(Q18&lt;=1,1,Q18*tier_step_building)</f>
        <v>12</v>
      </c>
      <c r="W18" s="1" t="n">
        <f aca="false">ROUND((R18*(Rollar!$E$7*cp_w_power+Rollar!$F$7*cp_w_speed+Rollar!$G$7*cp_w_hp)+S18*(Rollar!$E$8*cp_w_power+Rollar!$F$8*cp_w_speed+Rollar!$G$8*cp_w_hp)+T18*(Rollar!$E$9*cp_w_power+Rollar!$F$9*cp_w_speed+Rollar!$G$9*cp_w_hp)+U18*(Rollar!$E$10*cp_w_power+Rollar!$F$10*cp_w_speed+Rollar!$G$10*cp_w_hp))*tier_coef^(Q18-1)*(1+alpha_bonus*A18),0)</f>
        <v>11310</v>
      </c>
      <c r="X18" s="1" t="n">
        <f aca="false">ROUND(W18/$W$6,1)</f>
        <v>179.5</v>
      </c>
    </row>
    <row r="19" customFormat="false" ht="15" hidden="false" customHeight="false" outlineLevel="0" collapsed="false">
      <c r="A19" s="1" t="n">
        <v>14</v>
      </c>
      <c r="B19" s="1" t="str">
        <f aca="false">Darajalar!B19</f>
        <v>Arktika boʻrisi</v>
      </c>
      <c r="C19" s="1" t="str">
        <f aca="false">Darajalar!D19</f>
        <v>Haqiqiy</v>
      </c>
      <c r="D19" s="1" t="n">
        <f aca="false">Darajalar!J19</f>
        <v>12460</v>
      </c>
      <c r="E19" s="1" t="n">
        <f aca="false">Darajalar!N19</f>
        <v>618</v>
      </c>
      <c r="F19" s="1" t="n">
        <f aca="false">Darajalar!O19</f>
        <v>62</v>
      </c>
      <c r="G19" s="1" t="n">
        <f aca="false">Oziqlanish!E19</f>
        <v>118</v>
      </c>
      <c r="H19" s="1" t="n">
        <f aca="false">Oziqlanish!J19</f>
        <v>1</v>
      </c>
      <c r="I19" s="1" t="n">
        <f aca="false">Oziqlanish!F19</f>
        <v>57</v>
      </c>
      <c r="J19" s="1" t="n">
        <f aca="false">Oziqlanish!G19</f>
        <v>0</v>
      </c>
      <c r="K19" s="1" t="n">
        <f aca="false">Oziqlanish!L19</f>
        <v>12</v>
      </c>
      <c r="L19" s="1" t="n">
        <f aca="false">ROUND((INDEX(Binolar!$F$7:$F$31,MIN(25,K19+1))+INDEX(Binolar!$G$7:$G$31,MIN(25,K19+1)))/build_plan_days,0)</f>
        <v>410</v>
      </c>
      <c r="M19" s="1" t="n">
        <f aca="false">COUNTIF(Binolar!$C$34:$C$58,"&lt;"&amp;L19)+1</f>
        <v>1</v>
      </c>
      <c r="N19" s="1" t="n">
        <f aca="false">ROUND(4*'Askar iqtisodi'!F37*hunter_yield_mult*Oziqlanish!C19*hunt_duration_min/60,0)</f>
        <v>342</v>
      </c>
      <c r="O19" s="1" t="str">
        <f aca="false">IF(C19="Haqiqiy","Asosiy oʻyin",IF(C19="Qadimgi","Qadimgi bosqich","Afsona bosqichi"))</f>
        <v>Asosiy oʻyin</v>
      </c>
      <c r="P19" s="1" t="s">
        <v>61</v>
      </c>
      <c r="Q19" s="1" t="n">
        <f aca="false">'Askar iqtisodi'!G37</f>
        <v>3</v>
      </c>
      <c r="R19" s="1" t="n">
        <f aca="false">'Askar iqtisodi'!C37</f>
        <v>12</v>
      </c>
      <c r="S19" s="1" t="n">
        <f aca="false">'Askar iqtisodi'!D37</f>
        <v>29</v>
      </c>
      <c r="T19" s="1" t="n">
        <f aca="false">'Askar iqtisodi'!E37</f>
        <v>12</v>
      </c>
      <c r="U19" s="1" t="n">
        <f aca="false">'Askar iqtisodi'!F37</f>
        <v>9</v>
      </c>
      <c r="V19" s="1" t="n">
        <f aca="false">IF(Q19&lt;=1,1,Q19*tier_step_building)</f>
        <v>12</v>
      </c>
      <c r="W19" s="1" t="n">
        <f aca="false">ROUND((R19*(Rollar!$E$7*cp_w_power+Rollar!$F$7*cp_w_speed+Rollar!$G$7*cp_w_hp)+S19*(Rollar!$E$8*cp_w_power+Rollar!$F$8*cp_w_speed+Rollar!$G$8*cp_w_hp)+T19*(Rollar!$E$9*cp_w_power+Rollar!$F$9*cp_w_speed+Rollar!$G$9*cp_w_hp)+U19*(Rollar!$E$10*cp_w_power+Rollar!$F$10*cp_w_speed+Rollar!$G$10*cp_w_hp))*tier_coef^(Q19-1)*(1+alpha_bonus*A19),0)</f>
        <v>13804</v>
      </c>
      <c r="X19" s="1" t="n">
        <f aca="false">ROUND(W19/$W$6,1)</f>
        <v>219.1</v>
      </c>
    </row>
    <row r="20" customFormat="false" ht="15" hidden="false" customHeight="false" outlineLevel="0" collapsed="false">
      <c r="A20" s="1" t="n">
        <v>15</v>
      </c>
      <c r="B20" s="1" t="str">
        <f aca="false">Darajalar!B20</f>
        <v>Buyuk tekislik boʻrisi</v>
      </c>
      <c r="C20" s="1" t="str">
        <f aca="false">Darajalar!D20</f>
        <v>Haqiqiy</v>
      </c>
      <c r="D20" s="1" t="n">
        <f aca="false">Darajalar!J20</f>
        <v>17730</v>
      </c>
      <c r="E20" s="1" t="n">
        <f aca="false">Darajalar!N20</f>
        <v>739</v>
      </c>
      <c r="F20" s="1" t="n">
        <f aca="false">Darajalar!O20</f>
        <v>74</v>
      </c>
      <c r="G20" s="1" t="n">
        <f aca="false">Oziqlanish!E20</f>
        <v>148</v>
      </c>
      <c r="H20" s="1" t="n">
        <f aca="false">Oziqlanish!J20</f>
        <v>1</v>
      </c>
      <c r="I20" s="1" t="n">
        <f aca="false">Oziqlanish!F20</f>
        <v>71</v>
      </c>
      <c r="J20" s="1" t="n">
        <f aca="false">Oziqlanish!G20</f>
        <v>0</v>
      </c>
      <c r="K20" s="1" t="n">
        <f aca="false">Oziqlanish!L20</f>
        <v>14</v>
      </c>
      <c r="L20" s="1" t="n">
        <f aca="false">ROUND((INDEX(Binolar!$F$7:$F$31,MIN(25,K20+1))+INDEX(Binolar!$G$7:$G$31,MIN(25,K20+1)))/build_plan_days,0)</f>
        <v>692</v>
      </c>
      <c r="M20" s="1" t="n">
        <f aca="false">COUNTIF(Binolar!$C$34:$C$58,"&lt;"&amp;L20)+1</f>
        <v>3</v>
      </c>
      <c r="N20" s="1" t="n">
        <f aca="false">ROUND(4*'Askar iqtisodi'!F38*hunter_yield_mult*Oziqlanish!C20*hunt_duration_min/60,0)</f>
        <v>440</v>
      </c>
      <c r="O20" s="1" t="str">
        <f aca="false">IF(C20="Haqiqiy","Asosiy oʻyin",IF(C20="Qadimgi","Qadimgi bosqich","Afsona bosqichi"))</f>
        <v>Asosiy oʻyin</v>
      </c>
      <c r="P20" s="1" t="s">
        <v>64</v>
      </c>
      <c r="Q20" s="1" t="n">
        <f aca="false">'Askar iqtisodi'!G38</f>
        <v>3</v>
      </c>
      <c r="R20" s="1" t="n">
        <f aca="false">'Askar iqtisodi'!C38</f>
        <v>15</v>
      </c>
      <c r="S20" s="1" t="n">
        <f aca="false">'Askar iqtisodi'!D38</f>
        <v>33</v>
      </c>
      <c r="T20" s="1" t="n">
        <f aca="false">'Askar iqtisodi'!E38</f>
        <v>15</v>
      </c>
      <c r="U20" s="1" t="n">
        <f aca="false">'Askar iqtisodi'!F38</f>
        <v>11</v>
      </c>
      <c r="V20" s="1" t="n">
        <f aca="false">IF(Q20&lt;=1,1,Q20*tier_step_building)</f>
        <v>12</v>
      </c>
      <c r="W20" s="1" t="n">
        <f aca="false">ROUND((R20*(Rollar!$E$7*cp_w_power+Rollar!$F$7*cp_w_speed+Rollar!$G$7*cp_w_hp)+S20*(Rollar!$E$8*cp_w_power+Rollar!$F$8*cp_w_speed+Rollar!$G$8*cp_w_hp)+T20*(Rollar!$E$9*cp_w_power+Rollar!$F$9*cp_w_speed+Rollar!$G$9*cp_w_hp)+U20*(Rollar!$E$10*cp_w_power+Rollar!$F$10*cp_w_speed+Rollar!$G$10*cp_w_hp))*tier_coef^(Q20-1)*(1+alpha_bonus*A20),0)</f>
        <v>16775</v>
      </c>
      <c r="X20" s="1" t="n">
        <f aca="false">ROUND(W20/$W$6,1)</f>
        <v>266.3</v>
      </c>
    </row>
    <row r="21" customFormat="false" ht="15" hidden="false" customHeight="false" outlineLevel="0" collapsed="false">
      <c r="A21" s="1" t="n">
        <v>16</v>
      </c>
      <c r="B21" s="1" t="str">
        <f aca="false">Darajalar!B21</f>
        <v>Yevroosiyo kulrang boʻrisi</v>
      </c>
      <c r="C21" s="1" t="str">
        <f aca="false">Darajalar!D21</f>
        <v>Haqiqiy</v>
      </c>
      <c r="D21" s="1" t="n">
        <f aca="false">Darajalar!J21</f>
        <v>26810</v>
      </c>
      <c r="E21" s="1" t="n">
        <f aca="false">Darajalar!N21</f>
        <v>880</v>
      </c>
      <c r="F21" s="1" t="n">
        <f aca="false">Darajalar!O21</f>
        <v>89</v>
      </c>
      <c r="G21" s="1" t="n">
        <f aca="false">Oziqlanish!E21</f>
        <v>187</v>
      </c>
      <c r="H21" s="1" t="n">
        <f aca="false">Oziqlanish!J21</f>
        <v>1</v>
      </c>
      <c r="I21" s="1" t="n">
        <f aca="false">Oziqlanish!F21</f>
        <v>89</v>
      </c>
      <c r="J21" s="1" t="n">
        <f aca="false">Oziqlanish!G21</f>
        <v>0</v>
      </c>
      <c r="K21" s="1" t="n">
        <f aca="false">Oziqlanish!L21</f>
        <v>15</v>
      </c>
      <c r="L21" s="1" t="n">
        <f aca="false">ROUND((INDEX(Binolar!$F$7:$F$31,MIN(25,K21+1))+INDEX(Binolar!$G$7:$G$31,MIN(25,K21+1)))/build_plan_days,0)</f>
        <v>1125</v>
      </c>
      <c r="M21" s="1" t="n">
        <f aca="false">COUNTIF(Binolar!$C$34:$C$58,"&lt;"&amp;L21)+1</f>
        <v>6</v>
      </c>
      <c r="N21" s="1" t="n">
        <f aca="false">ROUND(4*'Askar iqtisodi'!F39*hunter_yield_mult*Oziqlanish!C21*hunt_duration_min/60,0)</f>
        <v>546</v>
      </c>
      <c r="O21" s="1" t="str">
        <f aca="false">IF(C21="Haqiqiy","Asosiy oʻyin",IF(C21="Qadimgi","Qadimgi bosqich","Afsona bosqichi"))</f>
        <v>Asosiy oʻyin</v>
      </c>
      <c r="P21" s="1" t="s">
        <v>67</v>
      </c>
      <c r="Q21" s="1" t="n">
        <f aca="false">'Askar iqtisodi'!G39</f>
        <v>4</v>
      </c>
      <c r="R21" s="1" t="n">
        <f aca="false">'Askar iqtisodi'!C39</f>
        <v>18</v>
      </c>
      <c r="S21" s="1" t="n">
        <f aca="false">'Askar iqtisodi'!D39</f>
        <v>40</v>
      </c>
      <c r="T21" s="1" t="n">
        <f aca="false">'Askar iqtisodi'!E39</f>
        <v>18</v>
      </c>
      <c r="U21" s="1" t="n">
        <f aca="false">'Askar iqtisodi'!F39</f>
        <v>13</v>
      </c>
      <c r="V21" s="1" t="n">
        <f aca="false">IF(Q21&lt;=1,1,Q21*tier_step_building)</f>
        <v>16</v>
      </c>
      <c r="W21" s="1" t="n">
        <f aca="false">ROUND((R21*(Rollar!$E$7*cp_w_power+Rollar!$F$7*cp_w_speed+Rollar!$G$7*cp_w_hp)+S21*(Rollar!$E$8*cp_w_power+Rollar!$F$8*cp_w_speed+Rollar!$G$8*cp_w_hp)+T21*(Rollar!$E$9*cp_w_power+Rollar!$F$9*cp_w_speed+Rollar!$G$9*cp_w_hp)+U21*(Rollar!$E$10*cp_w_power+Rollar!$F$10*cp_w_speed+Rollar!$G$10*cp_w_hp))*tier_coef^(Q21-1)*(1+alpha_bonus*A21),0)</f>
        <v>29883</v>
      </c>
      <c r="X21" s="1" t="n">
        <f aca="false">ROUND(W21/$W$6,1)</f>
        <v>474.3</v>
      </c>
    </row>
    <row r="22" customFormat="false" ht="15" hidden="false" customHeight="false" outlineLevel="0" collapsed="false">
      <c r="A22" s="1" t="n">
        <v>17</v>
      </c>
      <c r="B22" s="1" t="str">
        <f aca="false">Darajalar!B22</f>
        <v>Tundra boʻrisi</v>
      </c>
      <c r="C22" s="1" t="str">
        <f aca="false">Darajalar!D22</f>
        <v>Haqiqiy</v>
      </c>
      <c r="D22" s="1" t="n">
        <f aca="false">Darajalar!J22</f>
        <v>39350</v>
      </c>
      <c r="E22" s="1" t="n">
        <f aca="false">Darajalar!N22</f>
        <v>1052</v>
      </c>
      <c r="F22" s="1" t="n">
        <f aca="false">Darajalar!O22</f>
        <v>107</v>
      </c>
      <c r="G22" s="1" t="n">
        <f aca="false">Oziqlanish!E22</f>
        <v>235</v>
      </c>
      <c r="H22" s="1" t="n">
        <f aca="false">Oziqlanish!J22</f>
        <v>1</v>
      </c>
      <c r="I22" s="1" t="n">
        <f aca="false">Oziqlanish!F22</f>
        <v>111</v>
      </c>
      <c r="J22" s="1" t="n">
        <f aca="false">Oziqlanish!G22</f>
        <v>0</v>
      </c>
      <c r="K22" s="1" t="n">
        <f aca="false">Oziqlanish!L22</f>
        <v>16</v>
      </c>
      <c r="L22" s="1" t="n">
        <f aca="false">ROUND((INDEX(Binolar!$F$7:$F$31,MIN(25,K22+1))+INDEX(Binolar!$G$7:$G$31,MIN(25,K22+1)))/build_plan_days,0)</f>
        <v>1462</v>
      </c>
      <c r="M22" s="1" t="n">
        <f aca="false">COUNTIF(Binolar!$C$34:$C$58,"&lt;"&amp;L22)+1</f>
        <v>7</v>
      </c>
      <c r="N22" s="1" t="n">
        <f aca="false">ROUND(4*'Askar iqtisodi'!F40*hunter_yield_mult*Oziqlanish!C22*hunt_duration_min/60,0)</f>
        <v>704</v>
      </c>
      <c r="O22" s="1" t="str">
        <f aca="false">IF(C22="Haqiqiy","Asosiy oʻyin",IF(C22="Qadimgi","Qadimgi bosqich","Afsona bosqichi"))</f>
        <v>Asosiy oʻyin</v>
      </c>
      <c r="P22" s="1" t="s">
        <v>70</v>
      </c>
      <c r="Q22" s="1" t="n">
        <f aca="false">'Askar iqtisodi'!G40</f>
        <v>4</v>
      </c>
      <c r="R22" s="1" t="n">
        <f aca="false">'Askar iqtisodi'!C40</f>
        <v>21</v>
      </c>
      <c r="S22" s="1" t="n">
        <f aca="false">'Askar iqtisodi'!D40</f>
        <v>49</v>
      </c>
      <c r="T22" s="1" t="n">
        <f aca="false">'Askar iqtisodi'!E40</f>
        <v>21</v>
      </c>
      <c r="U22" s="1" t="n">
        <f aca="false">'Askar iqtisodi'!F40</f>
        <v>16</v>
      </c>
      <c r="V22" s="1" t="n">
        <f aca="false">IF(Q22&lt;=1,1,Q22*tier_step_building)</f>
        <v>16</v>
      </c>
      <c r="W22" s="1" t="n">
        <f aca="false">ROUND((R22*(Rollar!$E$7*cp_w_power+Rollar!$F$7*cp_w_speed+Rollar!$G$7*cp_w_hp)+S22*(Rollar!$E$8*cp_w_power+Rollar!$F$8*cp_w_speed+Rollar!$G$8*cp_w_hp)+T22*(Rollar!$E$9*cp_w_power+Rollar!$F$9*cp_w_speed+Rollar!$G$9*cp_w_hp)+U22*(Rollar!$E$10*cp_w_power+Rollar!$F$10*cp_w_speed+Rollar!$G$10*cp_w_hp))*tier_coef^(Q22-1)*(1+alpha_bonus*A22),0)</f>
        <v>36669</v>
      </c>
      <c r="X22" s="1" t="n">
        <f aca="false">ROUND(W22/$W$6,1)</f>
        <v>582</v>
      </c>
    </row>
    <row r="23" customFormat="false" ht="15" hidden="false" customHeight="false" outlineLevel="0" collapsed="false">
      <c r="A23" s="1" t="n">
        <v>18</v>
      </c>
      <c r="B23" s="1" t="str">
        <f aca="false">Darajalar!B23</f>
        <v>Alyaska ichki boʻrisi</v>
      </c>
      <c r="C23" s="1" t="str">
        <f aca="false">Darajalar!D23</f>
        <v>Haqiqiy</v>
      </c>
      <c r="D23" s="1" t="n">
        <f aca="false">Darajalar!J23</f>
        <v>56650</v>
      </c>
      <c r="E23" s="1" t="n">
        <f aca="false">Darajalar!N23</f>
        <v>1254</v>
      </c>
      <c r="F23" s="1" t="n">
        <f aca="false">Darajalar!O23</f>
        <v>128</v>
      </c>
      <c r="G23" s="1" t="n">
        <f aca="false">Oziqlanish!E23</f>
        <v>294</v>
      </c>
      <c r="H23" s="1" t="n">
        <f aca="false">Oziqlanish!J23</f>
        <v>1</v>
      </c>
      <c r="I23" s="1" t="n">
        <f aca="false">Oziqlanish!F23</f>
        <v>138</v>
      </c>
      <c r="J23" s="1" t="n">
        <f aca="false">Oziqlanish!G23</f>
        <v>0</v>
      </c>
      <c r="K23" s="1" t="n">
        <f aca="false">Oziqlanish!L23</f>
        <v>17</v>
      </c>
      <c r="L23" s="1" t="n">
        <f aca="false">ROUND((INDEX(Binolar!$F$7:$F$31,MIN(25,K23+1))+INDEX(Binolar!$G$7:$G$31,MIN(25,K23+1)))/build_plan_days,0)</f>
        <v>1901</v>
      </c>
      <c r="M23" s="1" t="n">
        <f aca="false">COUNTIF(Binolar!$C$34:$C$58,"&lt;"&amp;L23)+1</f>
        <v>8</v>
      </c>
      <c r="N23" s="1" t="n">
        <f aca="false">ROUND(4*'Askar iqtisodi'!F41*hunter_yield_mult*Oziqlanish!C23*hunt_duration_min/60,0)</f>
        <v>874</v>
      </c>
      <c r="O23" s="1" t="str">
        <f aca="false">IF(C23="Haqiqiy","Asosiy oʻyin",IF(C23="Qadimgi","Qadimgi bosqich","Afsona bosqichi"))</f>
        <v>Asosiy oʻyin</v>
      </c>
      <c r="P23" s="1" t="s">
        <v>73</v>
      </c>
      <c r="Q23" s="1" t="n">
        <f aca="false">'Askar iqtisodi'!G41</f>
        <v>4</v>
      </c>
      <c r="R23" s="1" t="n">
        <f aca="false">'Askar iqtisodi'!C41</f>
        <v>26</v>
      </c>
      <c r="S23" s="1" t="n">
        <f aca="false">'Askar iqtisodi'!D41</f>
        <v>57</v>
      </c>
      <c r="T23" s="1" t="n">
        <f aca="false">'Askar iqtisodi'!E41</f>
        <v>26</v>
      </c>
      <c r="U23" s="1" t="n">
        <f aca="false">'Askar iqtisodi'!F41</f>
        <v>19</v>
      </c>
      <c r="V23" s="1" t="n">
        <f aca="false">IF(Q23&lt;=1,1,Q23*tier_step_building)</f>
        <v>16</v>
      </c>
      <c r="W23" s="1" t="n">
        <f aca="false">ROUND((R23*(Rollar!$E$7*cp_w_power+Rollar!$F$7*cp_w_speed+Rollar!$G$7*cp_w_hp)+S23*(Rollar!$E$8*cp_w_power+Rollar!$F$8*cp_w_speed+Rollar!$G$8*cp_w_hp)+T23*(Rollar!$E$9*cp_w_power+Rollar!$F$9*cp_w_speed+Rollar!$G$9*cp_w_hp)+U23*(Rollar!$E$10*cp_w_power+Rollar!$F$10*cp_w_speed+Rollar!$G$10*cp_w_hp))*tier_coef^(Q23-1)*(1+alpha_bonus*A23),0)</f>
        <v>44684</v>
      </c>
      <c r="X23" s="1" t="n">
        <f aca="false">ROUND(W23/$W$6,1)</f>
        <v>709.3</v>
      </c>
    </row>
    <row r="24" customFormat="false" ht="15" hidden="false" customHeight="false" outlineLevel="0" collapsed="false">
      <c r="A24" s="1" t="n">
        <v>19</v>
      </c>
      <c r="B24" s="1" t="str">
        <f aca="false">Darajalar!B24</f>
        <v>Makkenzi vodiysi boʻrisi</v>
      </c>
      <c r="C24" s="1" t="str">
        <f aca="false">Darajalar!D24</f>
        <v>Haqiqiy</v>
      </c>
      <c r="D24" s="1" t="n">
        <f aca="false">Darajalar!J24</f>
        <v>80530</v>
      </c>
      <c r="E24" s="1" t="n">
        <f aca="false">Darajalar!N24</f>
        <v>1517</v>
      </c>
      <c r="F24" s="1" t="n">
        <f aca="false">Darajalar!O24</f>
        <v>154</v>
      </c>
      <c r="G24" s="1" t="n">
        <f aca="false">Oziqlanish!E24</f>
        <v>370</v>
      </c>
      <c r="H24" s="1" t="n">
        <f aca="false">Oziqlanish!J24</f>
        <v>1</v>
      </c>
      <c r="I24" s="1" t="n">
        <f aca="false">Oziqlanish!F24</f>
        <v>172</v>
      </c>
      <c r="J24" s="1" t="n">
        <f aca="false">Oziqlanish!G24</f>
        <v>0</v>
      </c>
      <c r="K24" s="1" t="n">
        <f aca="false">Oziqlanish!L24</f>
        <v>18</v>
      </c>
      <c r="L24" s="1" t="n">
        <f aca="false">ROUND((INDEX(Binolar!$F$7:$F$31,MIN(25,K24+1))+INDEX(Binolar!$G$7:$G$31,MIN(25,K24+1)))/build_plan_days,0)</f>
        <v>2472</v>
      </c>
      <c r="M24" s="1" t="n">
        <f aca="false">COUNTIF(Binolar!$C$34:$C$58,"&lt;"&amp;L24)+1</f>
        <v>10</v>
      </c>
      <c r="N24" s="1" t="n">
        <f aca="false">ROUND(4*'Askar iqtisodi'!F42*hunter_yield_mult*Oziqlanish!C24*hunt_duration_min/60,0)</f>
        <v>1104</v>
      </c>
      <c r="O24" s="1" t="str">
        <f aca="false">IF(C24="Haqiqiy","Asosiy oʻyin",IF(C24="Qadimgi","Qadimgi bosqich","Afsona bosqichi"))</f>
        <v>Asosiy oʻyin</v>
      </c>
      <c r="P24" s="1" t="s">
        <v>76</v>
      </c>
      <c r="Q24" s="1" t="n">
        <f aca="false">'Askar iqtisodi'!G42</f>
        <v>4</v>
      </c>
      <c r="R24" s="1" t="n">
        <f aca="false">'Askar iqtisodi'!C42</f>
        <v>31</v>
      </c>
      <c r="S24" s="1" t="n">
        <f aca="false">'Askar iqtisodi'!D42</f>
        <v>69</v>
      </c>
      <c r="T24" s="1" t="n">
        <f aca="false">'Askar iqtisodi'!E42</f>
        <v>31</v>
      </c>
      <c r="U24" s="1" t="n">
        <f aca="false">'Askar iqtisodi'!F42</f>
        <v>23</v>
      </c>
      <c r="V24" s="1" t="n">
        <f aca="false">IF(Q24&lt;=1,1,Q24*tier_step_building)</f>
        <v>16</v>
      </c>
      <c r="W24" s="1" t="n">
        <f aca="false">ROUND((R24*(Rollar!$E$7*cp_w_power+Rollar!$F$7*cp_w_speed+Rollar!$G$7*cp_w_hp)+S24*(Rollar!$E$8*cp_w_power+Rollar!$F$8*cp_w_speed+Rollar!$G$8*cp_w_hp)+T24*(Rollar!$E$9*cp_w_power+Rollar!$F$9*cp_w_speed+Rollar!$G$9*cp_w_hp)+U24*(Rollar!$E$10*cp_w_power+Rollar!$F$10*cp_w_speed+Rollar!$G$10*cp_w_hp))*tier_coef^(Q24-1)*(1+alpha_bonus*A24),0)</f>
        <v>54816</v>
      </c>
      <c r="X24" s="1" t="n">
        <f aca="false">ROUND(W24/$W$6,1)</f>
        <v>870.1</v>
      </c>
    </row>
    <row r="25" customFormat="false" ht="15" hidden="false" customHeight="false" outlineLevel="0" collapsed="false">
      <c r="A25" s="1" t="n">
        <v>20</v>
      </c>
      <c r="B25" s="1" t="str">
        <f aca="false">Darajalar!B25</f>
        <v>Beringiya boʻrisi</v>
      </c>
      <c r="C25" s="1" t="str">
        <f aca="false">Darajalar!D25</f>
        <v>Qadimgi</v>
      </c>
      <c r="D25" s="1" t="n">
        <f aca="false">Darajalar!J25</f>
        <v>113480</v>
      </c>
      <c r="E25" s="1" t="n">
        <f aca="false">Darajalar!N25</f>
        <v>2480</v>
      </c>
      <c r="F25" s="1" t="n">
        <f aca="false">Darajalar!O25</f>
        <v>185</v>
      </c>
      <c r="G25" s="1" t="n">
        <f aca="false">Oziqlanish!E25</f>
        <v>463</v>
      </c>
      <c r="H25" s="1" t="n">
        <f aca="false">Oziqlanish!J25</f>
        <v>1</v>
      </c>
      <c r="I25" s="1" t="n">
        <f aca="false">Oziqlanish!F25</f>
        <v>215</v>
      </c>
      <c r="J25" s="1" t="n">
        <f aca="false">Oziqlanish!G25</f>
        <v>37</v>
      </c>
      <c r="K25" s="1" t="n">
        <f aca="false">Oziqlanish!L25</f>
        <v>19</v>
      </c>
      <c r="L25" s="1" t="n">
        <f aca="false">ROUND((INDEX(Binolar!$F$7:$F$31,MIN(25,K25+1))+INDEX(Binolar!$G$7:$G$31,MIN(25,K25+1)))/build_plan_days,0)</f>
        <v>3213</v>
      </c>
      <c r="M25" s="1" t="n">
        <f aca="false">COUNTIF(Binolar!$C$34:$C$58,"&lt;"&amp;L25)+1</f>
        <v>11</v>
      </c>
      <c r="N25" s="1" t="n">
        <f aca="false">ROUND(4*'Askar iqtisodi'!F43*hunter_yield_mult*Oziqlanish!C25*hunt_duration_min/60,0)</f>
        <v>1400</v>
      </c>
      <c r="O25" s="1" t="str">
        <f aca="false">IF(C25="Haqiqiy","Asosiy oʻyin",IF(C25="Qadimgi","Qadimgi bosqich","Afsona bosqichi"))</f>
        <v>Qadimgi bosqich</v>
      </c>
      <c r="P25" s="1" t="s">
        <v>80</v>
      </c>
      <c r="Q25" s="1" t="n">
        <f aca="false">'Askar iqtisodi'!G43</f>
        <v>5</v>
      </c>
      <c r="R25" s="1" t="n">
        <f aca="false">'Askar iqtisodi'!C43</f>
        <v>37</v>
      </c>
      <c r="S25" s="1" t="n">
        <f aca="false">'Askar iqtisodi'!D43</f>
        <v>83</v>
      </c>
      <c r="T25" s="1" t="n">
        <f aca="false">'Askar iqtisodi'!E43</f>
        <v>37</v>
      </c>
      <c r="U25" s="1" t="n">
        <f aca="false">'Askar iqtisodi'!F43</f>
        <v>28</v>
      </c>
      <c r="V25" s="1" t="n">
        <f aca="false">IF(Q25&lt;=1,1,Q25*tier_step_building)</f>
        <v>20</v>
      </c>
      <c r="W25" s="1" t="n">
        <f aca="false">ROUND((R25*(Rollar!$E$7*cp_w_power+Rollar!$F$7*cp_w_speed+Rollar!$G$7*cp_w_hp)+S25*(Rollar!$E$8*cp_w_power+Rollar!$F$8*cp_w_speed+Rollar!$G$8*cp_w_hp)+T25*(Rollar!$E$9*cp_w_power+Rollar!$F$9*cp_w_speed+Rollar!$G$9*cp_w_hp)+U25*(Rollar!$E$10*cp_w_power+Rollar!$F$10*cp_w_speed+Rollar!$G$10*cp_w_hp))*tier_coef^(Q25-1)*(1+alpha_bonus*A25),0)</f>
        <v>97283</v>
      </c>
      <c r="X25" s="1" t="n">
        <f aca="false">ROUND(W25/$W$6,1)</f>
        <v>1544.2</v>
      </c>
    </row>
    <row r="26" customFormat="false" ht="15" hidden="false" customHeight="false" outlineLevel="0" collapsed="false">
      <c r="A26" s="1" t="n">
        <v>21</v>
      </c>
      <c r="B26" s="1" t="str">
        <f aca="false">Darajalar!B26</f>
        <v>Dahshatli boʻri</v>
      </c>
      <c r="C26" s="1" t="str">
        <f aca="false">Darajalar!D26</f>
        <v>Qadimgi</v>
      </c>
      <c r="D26" s="1" t="n">
        <f aca="false">Darajalar!J26</f>
        <v>158950</v>
      </c>
      <c r="E26" s="1" t="n">
        <f aca="false">Darajalar!N26</f>
        <v>3058</v>
      </c>
      <c r="F26" s="1" t="n">
        <f aca="false">Darajalar!O26</f>
        <v>222</v>
      </c>
      <c r="G26" s="1" t="n">
        <f aca="false">Oziqlanish!E26</f>
        <v>577</v>
      </c>
      <c r="H26" s="1" t="n">
        <f aca="false">Oziqlanish!J26</f>
        <v>1</v>
      </c>
      <c r="I26" s="1" t="n">
        <f aca="false">Oziqlanish!F26</f>
        <v>266</v>
      </c>
      <c r="J26" s="1" t="n">
        <f aca="false">Oziqlanish!G26</f>
        <v>44.4</v>
      </c>
      <c r="K26" s="1" t="n">
        <f aca="false">Oziqlanish!L26</f>
        <v>20</v>
      </c>
      <c r="L26" s="1" t="n">
        <f aca="false">ROUND((INDEX(Binolar!$F$7:$F$31,MIN(25,K26+1))+INDEX(Binolar!$G$7:$G$31,MIN(25,K26+1)))/build_plan_days,0)</f>
        <v>4177</v>
      </c>
      <c r="M26" s="1" t="n">
        <f aca="false">COUNTIF(Binolar!$C$34:$C$58,"&lt;"&amp;L26)+1</f>
        <v>12</v>
      </c>
      <c r="N26" s="1" t="n">
        <f aca="false">ROUND(4*'Askar iqtisodi'!F44*hunter_yield_mult*Oziqlanish!C26*hunt_duration_min/60,0)</f>
        <v>1716</v>
      </c>
      <c r="O26" s="1" t="str">
        <f aca="false">IF(C26="Haqiqiy","Asosiy oʻyin",IF(C26="Qadimgi","Qadimgi bosqich","Afsona bosqichi"))</f>
        <v>Qadimgi bosqich</v>
      </c>
      <c r="P26" s="1" t="s">
        <v>83</v>
      </c>
      <c r="Q26" s="1" t="n">
        <f aca="false">'Askar iqtisodi'!G44</f>
        <v>5</v>
      </c>
      <c r="R26" s="1" t="n">
        <f aca="false">'Askar iqtisodi'!C44</f>
        <v>44</v>
      </c>
      <c r="S26" s="1" t="n">
        <f aca="false">'Askar iqtisodi'!D44</f>
        <v>101</v>
      </c>
      <c r="T26" s="1" t="n">
        <f aca="false">'Askar iqtisodi'!E44</f>
        <v>44</v>
      </c>
      <c r="U26" s="1" t="n">
        <f aca="false">'Askar iqtisodi'!F44</f>
        <v>33</v>
      </c>
      <c r="V26" s="1" t="n">
        <f aca="false">IF(Q26&lt;=1,1,Q26*tier_step_building)</f>
        <v>20</v>
      </c>
      <c r="W26" s="1" t="n">
        <f aca="false">ROUND((R26*(Rollar!$E$7*cp_w_power+Rollar!$F$7*cp_w_speed+Rollar!$G$7*cp_w_hp)+S26*(Rollar!$E$8*cp_w_power+Rollar!$F$8*cp_w_speed+Rollar!$G$8*cp_w_hp)+T26*(Rollar!$E$9*cp_w_power+Rollar!$F$9*cp_w_speed+Rollar!$G$9*cp_w_hp)+U26*(Rollar!$E$10*cp_w_power+Rollar!$F$10*cp_w_speed+Rollar!$G$10*cp_w_hp))*tier_coef^(Q26-1)*(1+alpha_bonus*A26),0)</f>
        <v>119059</v>
      </c>
      <c r="X26" s="1" t="n">
        <f aca="false">ROUND(W26/$W$6,1)</f>
        <v>1889.8</v>
      </c>
    </row>
    <row r="27" customFormat="false" ht="15" hidden="false" customHeight="false" outlineLevel="0" collapsed="false">
      <c r="A27" s="1" t="n">
        <v>22</v>
      </c>
      <c r="B27" s="1" t="str">
        <f aca="false">Darajalar!B27</f>
        <v>Amarok</v>
      </c>
      <c r="C27" s="1" t="str">
        <f aca="false">Darajalar!D27</f>
        <v>Mifologik</v>
      </c>
      <c r="D27" s="1" t="n">
        <f aca="false">Darajalar!J27</f>
        <v>221700</v>
      </c>
      <c r="E27" s="1" t="n">
        <f aca="false">Darajalar!N27</f>
        <v>5079</v>
      </c>
      <c r="F27" s="1" t="n">
        <f aca="false">Darajalar!O27</f>
        <v>266</v>
      </c>
      <c r="G27" s="1" t="n">
        <f aca="false">Oziqlanish!E27</f>
        <v>718</v>
      </c>
      <c r="H27" s="1" t="n">
        <f aca="false">Oziqlanish!J27</f>
        <v>2</v>
      </c>
      <c r="I27" s="1" t="n">
        <f aca="false">Oziqlanish!F27</f>
        <v>330</v>
      </c>
      <c r="J27" s="1" t="n">
        <f aca="false">Oziqlanish!G27</f>
        <v>53.2</v>
      </c>
      <c r="K27" s="1" t="n">
        <f aca="false">Oziqlanish!L27</f>
        <v>22</v>
      </c>
      <c r="L27" s="1" t="n">
        <f aca="false">ROUND((INDEX(Binolar!$F$7:$F$31,MIN(25,K27+1))+INDEX(Binolar!$G$7:$G$31,MIN(25,K27+1)))/build_plan_days,0)</f>
        <v>7059</v>
      </c>
      <c r="M27" s="1" t="n">
        <f aca="false">COUNTIF(Binolar!$C$34:$C$58,"&lt;"&amp;L27)+1</f>
        <v>15</v>
      </c>
      <c r="N27" s="1" t="n">
        <f aca="false">ROUND(4*'Askar iqtisodi'!F45*hunter_yield_mult*Oziqlanish!C27*hunt_duration_min/60,0)</f>
        <v>2160</v>
      </c>
      <c r="O27" s="1" t="str">
        <f aca="false">IF(C27="Haqiqiy","Asosiy oʻyin",IF(C27="Qadimgi","Qadimgi bosqich","Afsona bosqichi"))</f>
        <v>Afsona bosqichi</v>
      </c>
      <c r="P27" s="1" t="s">
        <v>87</v>
      </c>
      <c r="Q27" s="1" t="n">
        <f aca="false">'Askar iqtisodi'!G45</f>
        <v>5</v>
      </c>
      <c r="R27" s="1" t="n">
        <f aca="false">'Askar iqtisodi'!C45</f>
        <v>53</v>
      </c>
      <c r="S27" s="1" t="n">
        <f aca="false">'Askar iqtisodi'!D45</f>
        <v>120</v>
      </c>
      <c r="T27" s="1" t="n">
        <f aca="false">'Askar iqtisodi'!E45</f>
        <v>53</v>
      </c>
      <c r="U27" s="1" t="n">
        <f aca="false">'Askar iqtisodi'!F45</f>
        <v>40</v>
      </c>
      <c r="V27" s="1" t="n">
        <f aca="false">IF(Q27&lt;=1,1,Q27*tier_step_building)</f>
        <v>20</v>
      </c>
      <c r="W27" s="1" t="n">
        <f aca="false">ROUND((R27*(Rollar!$E$7*cp_w_power+Rollar!$F$7*cp_w_speed+Rollar!$G$7*cp_w_hp)+S27*(Rollar!$E$8*cp_w_power+Rollar!$F$8*cp_w_speed+Rollar!$G$8*cp_w_hp)+T27*(Rollar!$E$9*cp_w_power+Rollar!$F$9*cp_w_speed+Rollar!$G$9*cp_w_hp)+U27*(Rollar!$E$10*cp_w_power+Rollar!$F$10*cp_w_speed+Rollar!$G$10*cp_w_hp))*tier_coef^(Q27-1)*(1+alpha_bonus*A27),0)</f>
        <v>145183</v>
      </c>
      <c r="X27" s="1" t="n">
        <f aca="false">ROUND(W27/$W$6,1)</f>
        <v>2304.5</v>
      </c>
    </row>
    <row r="28" customFormat="false" ht="15" hidden="false" customHeight="false" outlineLevel="0" collapsed="false">
      <c r="A28" s="1" t="n">
        <v>23</v>
      </c>
      <c r="B28" s="1" t="str">
        <f aca="false">Darajalar!B28</f>
        <v>Geri va Freki</v>
      </c>
      <c r="C28" s="1" t="str">
        <f aca="false">Darajalar!D28</f>
        <v>Mifologik</v>
      </c>
      <c r="D28" s="1" t="n">
        <f aca="false">Darajalar!J28</f>
        <v>308290</v>
      </c>
      <c r="E28" s="1" t="n">
        <f aca="false">Darajalar!N28</f>
        <v>6312</v>
      </c>
      <c r="F28" s="1" t="n">
        <f aca="false">Darajalar!O28</f>
        <v>319</v>
      </c>
      <c r="G28" s="1" t="n">
        <f aca="false">Oziqlanish!E28</f>
        <v>893</v>
      </c>
      <c r="H28" s="1" t="n">
        <f aca="false">Oziqlanish!J28</f>
        <v>3</v>
      </c>
      <c r="I28" s="1" t="n">
        <f aca="false">Oziqlanish!F28</f>
        <v>408</v>
      </c>
      <c r="J28" s="1" t="n">
        <f aca="false">Oziqlanish!G28</f>
        <v>63.8</v>
      </c>
      <c r="K28" s="1" t="n">
        <f aca="false">Oziqlanish!L28</f>
        <v>23</v>
      </c>
      <c r="L28" s="1" t="n">
        <f aca="false">ROUND((INDEX(Binolar!$F$7:$F$31,MIN(25,K28+1))+INDEX(Binolar!$G$7:$G$31,MIN(25,K28+1)))/build_plan_days,0)</f>
        <v>9177</v>
      </c>
      <c r="M28" s="1" t="n">
        <f aca="false">COUNTIF(Binolar!$C$34:$C$58,"&lt;"&amp;L28)+1</f>
        <v>16</v>
      </c>
      <c r="N28" s="1" t="n">
        <f aca="false">ROUND(4*'Askar iqtisodi'!F46*hunter_yield_mult*Oziqlanish!C28*hunt_duration_min/60,0)</f>
        <v>2688</v>
      </c>
      <c r="O28" s="1" t="str">
        <f aca="false">IF(C28="Haqiqiy","Asosiy oʻyin",IF(C28="Qadimgi","Qadimgi bosqich","Afsona bosqichi"))</f>
        <v>Afsona bosqichi</v>
      </c>
      <c r="P28" s="1" t="s">
        <v>90</v>
      </c>
      <c r="Q28" s="1" t="n">
        <f aca="false">'Askar iqtisodi'!G46</f>
        <v>5</v>
      </c>
      <c r="R28" s="1" t="n">
        <f aca="false">'Askar iqtisodi'!C46</f>
        <v>64</v>
      </c>
      <c r="S28" s="1" t="n">
        <f aca="false">'Askar iqtisodi'!D46</f>
        <v>143</v>
      </c>
      <c r="T28" s="1" t="n">
        <f aca="false">'Askar iqtisodi'!E46</f>
        <v>64</v>
      </c>
      <c r="U28" s="1" t="n">
        <f aca="false">'Askar iqtisodi'!F46</f>
        <v>48</v>
      </c>
      <c r="V28" s="1" t="n">
        <f aca="false">IF(Q28&lt;=1,1,Q28*tier_step_building)</f>
        <v>20</v>
      </c>
      <c r="W28" s="1" t="n">
        <f aca="false">ROUND((R28*(Rollar!$E$7*cp_w_power+Rollar!$F$7*cp_w_speed+Rollar!$G$7*cp_w_hp)+S28*(Rollar!$E$8*cp_w_power+Rollar!$F$8*cp_w_speed+Rollar!$G$8*cp_w_hp)+T28*(Rollar!$E$9*cp_w_power+Rollar!$F$9*cp_w_speed+Rollar!$G$9*cp_w_hp)+U28*(Rollar!$E$10*cp_w_power+Rollar!$F$10*cp_w_speed+Rollar!$G$10*cp_w_hp))*tier_coef^(Q28-1)*(1+alpha_bonus*A28),0)</f>
        <v>177200</v>
      </c>
      <c r="X28" s="1" t="n">
        <f aca="false">ROUND(W28/$W$6,1)</f>
        <v>2812.7</v>
      </c>
    </row>
    <row r="29" customFormat="false" ht="15" hidden="false" customHeight="false" outlineLevel="0" collapsed="false">
      <c r="A29" s="1" t="n">
        <v>24</v>
      </c>
      <c r="B29" s="1" t="str">
        <f aca="false">Darajalar!B29</f>
        <v>Fenrir</v>
      </c>
      <c r="C29" s="1" t="str">
        <f aca="false">Darajalar!D29</f>
        <v>Mifologik</v>
      </c>
      <c r="D29" s="1" t="n">
        <f aca="false">Darajalar!J29</f>
        <v>427780</v>
      </c>
      <c r="E29" s="1" t="n">
        <f aca="false">Darajalar!N29</f>
        <v>8009</v>
      </c>
      <c r="F29" s="1" t="n">
        <f aca="false">Darajalar!O29</f>
        <v>383</v>
      </c>
      <c r="G29" s="1" t="n">
        <f aca="false">Oziqlanish!E29</f>
        <v>1111</v>
      </c>
      <c r="H29" s="1" t="n">
        <f aca="false">Oziqlanish!J29</f>
        <v>3</v>
      </c>
      <c r="I29" s="1" t="n">
        <f aca="false">Oziqlanish!F29</f>
        <v>506</v>
      </c>
      <c r="J29" s="1" t="n">
        <f aca="false">Oziqlanish!G29</f>
        <v>76.6</v>
      </c>
      <c r="K29" s="1" t="n">
        <f aca="false">Oziqlanish!L29</f>
        <v>24</v>
      </c>
      <c r="L29" s="1" t="n">
        <f aca="false">ROUND((INDEX(Binolar!$F$7:$F$31,MIN(25,K29+1))+INDEX(Binolar!$G$7:$G$31,MIN(25,K29+1)))/build_plan_days,0)</f>
        <v>11930</v>
      </c>
      <c r="M29" s="1" t="n">
        <f aca="false">COUNTIF(Binolar!$C$34:$C$58,"&lt;"&amp;L29)+1</f>
        <v>18</v>
      </c>
      <c r="N29" s="1" t="n">
        <f aca="false">ROUND(4*'Askar iqtisodi'!F47*hunter_yield_mult*Oziqlanish!C29*hunt_duration_min/60,0)</f>
        <v>3306</v>
      </c>
      <c r="O29" s="1" t="str">
        <f aca="false">IF(C29="Haqiqiy","Asosiy oʻyin",IF(C29="Qadimgi","Qadimgi bosqich","Afsona bosqichi"))</f>
        <v>Afsona bosqichi</v>
      </c>
      <c r="P29" s="1" t="s">
        <v>92</v>
      </c>
      <c r="Q29" s="1" t="n">
        <f aca="false">'Askar iqtisodi'!G47</f>
        <v>6</v>
      </c>
      <c r="R29" s="1" t="n">
        <f aca="false">'Askar iqtisodi'!C47</f>
        <v>77</v>
      </c>
      <c r="S29" s="1" t="n">
        <f aca="false">'Askar iqtisodi'!D47</f>
        <v>172</v>
      </c>
      <c r="T29" s="1" t="n">
        <f aca="false">'Askar iqtisodi'!E47</f>
        <v>77</v>
      </c>
      <c r="U29" s="1" t="n">
        <f aca="false">'Askar iqtisodi'!F47</f>
        <v>57</v>
      </c>
      <c r="V29" s="1" t="n">
        <f aca="false">IF(Q29&lt;=1,1,Q29*tier_step_building)</f>
        <v>24</v>
      </c>
      <c r="W29" s="1" t="n">
        <f aca="false">ROUND((R29*(Rollar!$E$7*cp_w_power+Rollar!$F$7*cp_w_speed+Rollar!$G$7*cp_w_hp)+S29*(Rollar!$E$8*cp_w_power+Rollar!$F$8*cp_w_speed+Rollar!$G$8*cp_w_hp)+T29*(Rollar!$E$9*cp_w_power+Rollar!$F$9*cp_w_speed+Rollar!$G$9*cp_w_hp)+U29*(Rollar!$E$10*cp_w_power+Rollar!$F$10*cp_w_speed+Rollar!$G$10*cp_w_hp))*tier_coef^(Q29-1)*(1+alpha_bonus*A29),0)</f>
        <v>314073</v>
      </c>
      <c r="X29" s="1" t="n">
        <f aca="false">ROUND(W29/$W$6,1)</f>
        <v>4985.3</v>
      </c>
    </row>
    <row r="30" customFormat="false" ht="15" hidden="false" customHeight="false" outlineLevel="0" collapsed="false">
      <c r="A30" s="1" t="n">
        <v>25</v>
      </c>
      <c r="B30" s="1" t="str">
        <f aca="false">Darajalar!B30</f>
        <v>Koʻk Boʻri</v>
      </c>
      <c r="C30" s="1" t="str">
        <f aca="false">Darajalar!D30</f>
        <v>Mifologik</v>
      </c>
      <c r="D30" s="1" t="n">
        <f aca="false">Darajalar!J30</f>
        <v>592680</v>
      </c>
      <c r="E30" s="1" t="n">
        <f aca="false">Darajalar!N30</f>
        <v>10269</v>
      </c>
      <c r="F30" s="1" t="n">
        <f aca="false">Darajalar!O30</f>
        <v>460</v>
      </c>
      <c r="G30" s="1" t="n">
        <f aca="false">Oziqlanish!E30</f>
        <v>1380</v>
      </c>
      <c r="H30" s="1" t="n">
        <f aca="false">Oziqlanish!J30</f>
        <v>4</v>
      </c>
      <c r="I30" s="1" t="n">
        <f aca="false">Oziqlanish!F30</f>
        <v>626</v>
      </c>
      <c r="J30" s="1" t="n">
        <f aca="false">Oziqlanish!G30</f>
        <v>92</v>
      </c>
      <c r="K30" s="1" t="n">
        <f aca="false">Oziqlanish!L30</f>
        <v>25</v>
      </c>
      <c r="L30" s="1" t="n">
        <f aca="false">ROUND((INDEX(Binolar!$F$7:$F$31,MIN(25,K30+1))+INDEX(Binolar!$G$7:$G$31,MIN(25,K30+1)))/build_plan_days,0)</f>
        <v>11930</v>
      </c>
      <c r="M30" s="1" t="n">
        <f aca="false">COUNTIF(Binolar!$C$34:$C$58,"&lt;"&amp;L30)+1</f>
        <v>18</v>
      </c>
      <c r="N30" s="1" t="n">
        <f aca="false">ROUND(4*'Askar iqtisodi'!F48*hunter_yield_mult*Oziqlanish!C30*hunt_duration_min/60,0)</f>
        <v>4140</v>
      </c>
      <c r="O30" s="1" t="str">
        <f aca="false">IF(C30="Haqiqiy","Asosiy oʻyin",IF(C30="Qadimgi","Qadimgi bosqich","Afsona bosqichi"))</f>
        <v>Afsona bosqichi</v>
      </c>
      <c r="P30" s="1" t="s">
        <v>95</v>
      </c>
      <c r="Q30" s="1" t="n">
        <f aca="false">'Askar iqtisodi'!G48</f>
        <v>6</v>
      </c>
      <c r="R30" s="1" t="n">
        <f aca="false">'Askar iqtisodi'!C48</f>
        <v>92</v>
      </c>
      <c r="S30" s="1" t="n">
        <f aca="false">'Askar iqtisodi'!D48</f>
        <v>207</v>
      </c>
      <c r="T30" s="1" t="n">
        <f aca="false">'Askar iqtisodi'!E48</f>
        <v>92</v>
      </c>
      <c r="U30" s="1" t="n">
        <f aca="false">'Askar iqtisodi'!F48</f>
        <v>69</v>
      </c>
      <c r="V30" s="1" t="n">
        <f aca="false">IF(Q30&lt;=1,1,Q30*tier_step_building)</f>
        <v>24</v>
      </c>
      <c r="W30" s="1" t="n">
        <f aca="false">ROUND((R30*(Rollar!$E$7*cp_w_power+Rollar!$F$7*cp_w_speed+Rollar!$G$7*cp_w_hp)+S30*(Rollar!$E$8*cp_w_power+Rollar!$F$8*cp_w_speed+Rollar!$G$8*cp_w_hp)+T30*(Rollar!$E$9*cp_w_power+Rollar!$F$9*cp_w_speed+Rollar!$G$9*cp_w_hp)+U30*(Rollar!$E$10*cp_w_power+Rollar!$F$10*cp_w_speed+Rollar!$G$10*cp_w_hp))*tier_coef^(Q30-1)*(1+alpha_bonus*A30),0)</f>
        <v>383763</v>
      </c>
      <c r="X30" s="1" t="n">
        <f aca="false">ROUND(W30/$W$6,1)</f>
        <v>6091.5</v>
      </c>
    </row>
    <row r="31" customFormat="false" ht="15" hidden="false" customHeight="false" outlineLevel="0" collapsed="false">
      <c r="A31" s="1" t="s">
        <v>183</v>
      </c>
    </row>
    <row r="32" customFormat="false" ht="15" hidden="false" customHeight="false" outlineLevel="0" collapsed="false">
      <c r="A32" s="1" t="s">
        <v>184</v>
      </c>
    </row>
    <row r="33" customFormat="false" ht="15" hidden="false" customHeight="false" outlineLevel="0" collapsed="false">
      <c r="A33" s="1" t="s">
        <v>185</v>
      </c>
    </row>
    <row r="34" customFormat="false" ht="15" hidden="false" customHeight="false" outlineLevel="0" collapsed="false">
      <c r="A34" s="1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3" customFormat="false" ht="15" hidden="false" customHeight="false" outlineLevel="0" collapsed="false">
      <c r="A3" s="1" t="s">
        <v>187</v>
      </c>
    </row>
    <row r="4" customFormat="false" ht="15" hidden="false" customHeight="false" outlineLevel="0" collapsed="false">
      <c r="A4" s="1" t="s">
        <v>188</v>
      </c>
    </row>
    <row r="5" customFormat="false" ht="15" hidden="false" customHeight="false" outlineLevel="0" collapsed="false">
      <c r="A5" s="1" t="s">
        <v>189</v>
      </c>
    </row>
    <row r="6" customFormat="false" ht="15" hidden="false" customHeight="false" outlineLevel="0" collapsed="false">
      <c r="A6" s="1" t="s">
        <v>190</v>
      </c>
      <c r="B6" s="1" t="s">
        <v>191</v>
      </c>
      <c r="C6" s="1" t="s">
        <v>192</v>
      </c>
      <c r="D6" s="1" t="s">
        <v>193</v>
      </c>
      <c r="E6" s="1" t="s">
        <v>12</v>
      </c>
      <c r="F6" s="1" t="s">
        <v>13</v>
      </c>
      <c r="G6" s="1" t="s">
        <v>194</v>
      </c>
      <c r="H6" s="1" t="s">
        <v>195</v>
      </c>
      <c r="I6" s="1" t="s">
        <v>196</v>
      </c>
    </row>
    <row r="7" customFormat="false" ht="15" hidden="false" customHeight="false" outlineLevel="0" collapsed="false">
      <c r="A7" s="1" t="s">
        <v>176</v>
      </c>
      <c r="B7" s="1" t="s">
        <v>197</v>
      </c>
      <c r="C7" s="1" t="s">
        <v>198</v>
      </c>
      <c r="D7" s="1" t="s">
        <v>13</v>
      </c>
      <c r="E7" s="3" t="n">
        <v>8</v>
      </c>
      <c r="F7" s="3" t="n">
        <v>22</v>
      </c>
      <c r="G7" s="3" t="n">
        <v>30</v>
      </c>
      <c r="H7" s="1" t="n">
        <v>0</v>
      </c>
      <c r="I7" s="1" t="n">
        <f aca="false">pack_unlock_level</f>
        <v>4</v>
      </c>
    </row>
    <row r="8" customFormat="false" ht="15" hidden="false" customHeight="false" outlineLevel="0" collapsed="false">
      <c r="A8" s="1" t="s">
        <v>177</v>
      </c>
      <c r="B8" s="1" t="s">
        <v>199</v>
      </c>
      <c r="C8" s="1" t="s">
        <v>200</v>
      </c>
      <c r="D8" s="1" t="s">
        <v>12</v>
      </c>
      <c r="E8" s="3" t="n">
        <v>20</v>
      </c>
      <c r="F8" s="3" t="n">
        <v>12</v>
      </c>
      <c r="G8" s="3" t="n">
        <v>45</v>
      </c>
      <c r="H8" s="1" t="n">
        <v>0</v>
      </c>
      <c r="I8" s="1" t="n">
        <f aca="false">pack_unlock_level</f>
        <v>4</v>
      </c>
    </row>
    <row r="9" customFormat="false" ht="15" hidden="false" customHeight="false" outlineLevel="0" collapsed="false">
      <c r="A9" s="1" t="s">
        <v>178</v>
      </c>
      <c r="B9" s="1" t="s">
        <v>201</v>
      </c>
      <c r="C9" s="1" t="s">
        <v>202</v>
      </c>
      <c r="D9" s="1" t="s">
        <v>194</v>
      </c>
      <c r="E9" s="3" t="n">
        <v>12</v>
      </c>
      <c r="F9" s="3" t="n">
        <v>8</v>
      </c>
      <c r="G9" s="3" t="n">
        <v>90</v>
      </c>
      <c r="H9" s="1" t="n">
        <v>0</v>
      </c>
      <c r="I9" s="1" t="n">
        <f aca="false">pack_unlock_level</f>
        <v>4</v>
      </c>
    </row>
    <row r="10" customFormat="false" ht="15" hidden="false" customHeight="false" outlineLevel="0" collapsed="false">
      <c r="A10" s="1" t="s">
        <v>179</v>
      </c>
      <c r="B10" s="1" t="s">
        <v>203</v>
      </c>
      <c r="C10" s="1" t="s">
        <v>204</v>
      </c>
      <c r="D10" s="1" t="s">
        <v>195</v>
      </c>
      <c r="E10" s="3" t="n">
        <v>10</v>
      </c>
      <c r="F10" s="3" t="n">
        <v>14</v>
      </c>
      <c r="G10" s="3" t="n">
        <v>40</v>
      </c>
      <c r="H10" s="1" t="s">
        <v>205</v>
      </c>
      <c r="I10" s="1" t="n">
        <f aca="false">hunter_unlock_level</f>
        <v>3</v>
      </c>
    </row>
    <row r="11" customFormat="false" ht="15" hidden="false" customHeight="false" outlineLevel="0" collapsed="false">
      <c r="A11" s="1" t="s">
        <v>206</v>
      </c>
    </row>
    <row r="12" customFormat="false" ht="15" hidden="false" customHeight="false" outlineLevel="0" collapsed="false">
      <c r="A12" s="1" t="s">
        <v>207</v>
      </c>
      <c r="B12" s="1" t="s">
        <v>208</v>
      </c>
      <c r="C12" s="1" t="s">
        <v>209</v>
      </c>
      <c r="D12" s="1" t="s">
        <v>180</v>
      </c>
      <c r="E12" s="1" t="s">
        <v>210</v>
      </c>
      <c r="F12" s="1" t="s">
        <v>211</v>
      </c>
      <c r="G12" s="1" t="s">
        <v>212</v>
      </c>
      <c r="H12" s="1" t="s">
        <v>213</v>
      </c>
    </row>
    <row r="13" customFormat="false" ht="15" hidden="false" customHeight="false" outlineLevel="0" collapsed="false">
      <c r="A13" s="1" t="n">
        <v>1</v>
      </c>
      <c r="B13" s="1" t="s">
        <v>214</v>
      </c>
      <c r="C13" s="1" t="n">
        <v>1</v>
      </c>
      <c r="D13" s="1" t="n">
        <v>1</v>
      </c>
      <c r="E13" s="1" t="n">
        <f aca="false">tier_coef^(A13-1)</f>
        <v>1</v>
      </c>
      <c r="F13" s="1" t="n">
        <f aca="false">ROUND(train_meat_base*E13*'Askar iqtisodi'!D8,0)</f>
        <v>20</v>
      </c>
      <c r="G13" s="1" t="n">
        <f aca="false">ROUND(train_bone_base*E13*'Askar iqtisodi'!D8,0)</f>
        <v>8</v>
      </c>
      <c r="H13" s="1" t="n">
        <f aca="false">ROUND(train_time_min*'Askar iqtisodi'!D8,1)</f>
        <v>4</v>
      </c>
    </row>
    <row r="14" customFormat="false" ht="15" hidden="false" customHeight="false" outlineLevel="0" collapsed="false">
      <c r="A14" s="1" t="n">
        <v>2</v>
      </c>
      <c r="B14" s="1" t="s">
        <v>215</v>
      </c>
      <c r="C14" s="1" t="n">
        <f aca="false">tier_step_level*A14</f>
        <v>8</v>
      </c>
      <c r="D14" s="1" t="n">
        <f aca="false">tier_step_building*A14</f>
        <v>8</v>
      </c>
      <c r="E14" s="1" t="n">
        <f aca="false">tier_coef^(A14-1)</f>
        <v>1.45</v>
      </c>
      <c r="F14" s="1" t="n">
        <f aca="false">ROUND(train_meat_base*E14*'Askar iqtisodi'!D9,0)</f>
        <v>42</v>
      </c>
      <c r="G14" s="1" t="n">
        <f aca="false">ROUND(train_bone_base*E14*'Askar iqtisodi'!D9,0)</f>
        <v>17</v>
      </c>
      <c r="H14" s="1" t="n">
        <f aca="false">ROUND(train_time_min*'Askar iqtisodi'!D9,1)</f>
        <v>5.8</v>
      </c>
    </row>
    <row r="15" customFormat="false" ht="15" hidden="false" customHeight="false" outlineLevel="0" collapsed="false">
      <c r="A15" s="1" t="n">
        <v>3</v>
      </c>
      <c r="B15" s="1" t="s">
        <v>216</v>
      </c>
      <c r="C15" s="1" t="n">
        <f aca="false">tier_step_level*A15</f>
        <v>12</v>
      </c>
      <c r="D15" s="1" t="n">
        <f aca="false">tier_step_building*A15</f>
        <v>12</v>
      </c>
      <c r="E15" s="1" t="n">
        <f aca="false">tier_coef^(A15-1)</f>
        <v>2.1025</v>
      </c>
      <c r="F15" s="1" t="n">
        <f aca="false">ROUND(train_meat_base*E15*'Askar iqtisodi'!D10,0)</f>
        <v>89</v>
      </c>
      <c r="G15" s="1" t="n">
        <f aca="false">ROUND(train_bone_base*E15*'Askar iqtisodi'!D10,0)</f>
        <v>35</v>
      </c>
      <c r="H15" s="1" t="n">
        <f aca="false">ROUND(train_time_min*'Askar iqtisodi'!D10,1)</f>
        <v>8.4</v>
      </c>
    </row>
    <row r="16" customFormat="false" ht="15" hidden="false" customHeight="false" outlineLevel="0" collapsed="false">
      <c r="A16" s="1" t="n">
        <v>4</v>
      </c>
      <c r="B16" s="1" t="s">
        <v>217</v>
      </c>
      <c r="C16" s="1" t="n">
        <f aca="false">tier_step_level*A16</f>
        <v>16</v>
      </c>
      <c r="D16" s="1" t="n">
        <f aca="false">tier_step_building*A16</f>
        <v>16</v>
      </c>
      <c r="E16" s="1" t="n">
        <f aca="false">tier_coef^(A16-1)</f>
        <v>3.048625</v>
      </c>
      <c r="F16" s="1" t="n">
        <f aca="false">ROUND(train_meat_base*E16*'Askar iqtisodi'!D11,0)</f>
        <v>187</v>
      </c>
      <c r="G16" s="1" t="n">
        <f aca="false">ROUND(train_bone_base*E16*'Askar iqtisodi'!D11,0)</f>
        <v>75</v>
      </c>
      <c r="H16" s="1" t="n">
        <f aca="false">ROUND(train_time_min*'Askar iqtisodi'!D11,1)</f>
        <v>12.2</v>
      </c>
    </row>
    <row r="17" customFormat="false" ht="15" hidden="false" customHeight="false" outlineLevel="0" collapsed="false">
      <c r="A17" s="1" t="n">
        <v>5</v>
      </c>
      <c r="B17" s="1" t="s">
        <v>218</v>
      </c>
      <c r="C17" s="1" t="n">
        <f aca="false">tier_step_level*A17</f>
        <v>20</v>
      </c>
      <c r="D17" s="1" t="n">
        <f aca="false">tier_step_building*A17</f>
        <v>20</v>
      </c>
      <c r="E17" s="1" t="n">
        <f aca="false">tier_coef^(A17-1)</f>
        <v>4.42050625</v>
      </c>
      <c r="F17" s="1" t="n">
        <f aca="false">ROUND(train_meat_base*E17*'Askar iqtisodi'!D12,0)</f>
        <v>393</v>
      </c>
      <c r="G17" s="1" t="n">
        <f aca="false">ROUND(train_bone_base*E17*'Askar iqtisodi'!D12,0)</f>
        <v>157</v>
      </c>
      <c r="H17" s="1" t="n">
        <f aca="false">ROUND(train_time_min*'Askar iqtisodi'!D12,1)</f>
        <v>17.8</v>
      </c>
    </row>
    <row r="18" customFormat="false" ht="15" hidden="false" customHeight="false" outlineLevel="0" collapsed="false">
      <c r="A18" s="1" t="n">
        <v>6</v>
      </c>
      <c r="B18" s="1" t="s">
        <v>219</v>
      </c>
      <c r="C18" s="1" t="n">
        <f aca="false">tier_step_level*A18</f>
        <v>24</v>
      </c>
      <c r="D18" s="1" t="n">
        <f aca="false">tier_step_building*A18</f>
        <v>24</v>
      </c>
      <c r="E18" s="1" t="n">
        <f aca="false">tier_coef^(A18-1)</f>
        <v>6.4097340625</v>
      </c>
      <c r="F18" s="1" t="n">
        <f aca="false">ROUND(train_meat_base*E18*'Askar iqtisodi'!D13,0)</f>
        <v>824</v>
      </c>
      <c r="G18" s="1" t="n">
        <f aca="false">ROUND(train_bone_base*E18*'Askar iqtisodi'!D13,0)</f>
        <v>330</v>
      </c>
      <c r="H18" s="1" t="n">
        <f aca="false">ROUND(train_time_min*'Askar iqtisodi'!D13,1)</f>
        <v>25.7</v>
      </c>
    </row>
    <row r="19" customFormat="false" ht="15" hidden="false" customHeight="false" outlineLevel="0" collapsed="false">
      <c r="A19" s="1" t="s">
        <v>220</v>
      </c>
    </row>
    <row r="20" customFormat="false" ht="15" hidden="false" customHeight="false" outlineLevel="0" collapsed="false">
      <c r="A20" s="1" t="s">
        <v>221</v>
      </c>
    </row>
    <row r="21" customFormat="false" ht="15" hidden="false" customHeight="false" outlineLevel="0" collapsed="false">
      <c r="A21" s="1" t="s">
        <v>207</v>
      </c>
      <c r="B21" s="1" t="s">
        <v>208</v>
      </c>
      <c r="C21" s="1" t="s">
        <v>176</v>
      </c>
      <c r="D21" s="1" t="s">
        <v>177</v>
      </c>
      <c r="E21" s="1" t="s">
        <v>178</v>
      </c>
      <c r="F21" s="1" t="s">
        <v>179</v>
      </c>
    </row>
    <row r="22" customFormat="false" ht="15" hidden="false" customHeight="false" outlineLevel="0" collapsed="false">
      <c r="A22" s="1" t="n">
        <v>1</v>
      </c>
      <c r="B22" s="1" t="s">
        <v>214</v>
      </c>
      <c r="C22" s="1" t="n">
        <f aca="false">ROUND(($E$7*cp_w_power+$F$7*cp_w_speed+$G$7*cp_w_hp)*tier_coef^($A22-1)*(1+alpha_bonus*sample_alpha_level),0)</f>
        <v>100</v>
      </c>
      <c r="D22" s="1" t="n">
        <f aca="false">ROUND(($E$8*cp_w_power+$F$8*cp_w_speed+$G$8*cp_w_hp)*tier_coef^($A22-1)*(1+alpha_bonus*sample_alpha_level),0)</f>
        <v>126</v>
      </c>
      <c r="E22" s="1" t="n">
        <f aca="false">ROUND(($E$9*cp_w_power+$F$9*cp_w_speed+$G$9*cp_w_hp)*tier_coef^($A22-1)*(1+alpha_bonus*sample_alpha_level),0)</f>
        <v>127</v>
      </c>
      <c r="F22" s="1" t="n">
        <f aca="false">ROUND(($E$10*cp_w_power+$F$10*cp_w_speed+$G$10*cp_w_hp)*tier_coef^($A22-1)*(1+alpha_bonus*sample_alpha_level),0)</f>
        <v>96</v>
      </c>
    </row>
    <row r="23" customFormat="false" ht="15" hidden="false" customHeight="false" outlineLevel="0" collapsed="false">
      <c r="A23" s="1" t="n">
        <v>2</v>
      </c>
      <c r="B23" s="1" t="s">
        <v>215</v>
      </c>
      <c r="C23" s="1" t="n">
        <f aca="false">ROUND(($E$7*cp_w_power+$F$7*cp_w_speed+$G$7*cp_w_hp)*tier_coef^($A23-1)*(1+alpha_bonus*sample_alpha_level),0)</f>
        <v>146</v>
      </c>
      <c r="D23" s="1" t="n">
        <f aca="false">ROUND(($E$8*cp_w_power+$F$8*cp_w_speed+$G$8*cp_w_hp)*tier_coef^($A23-1)*(1+alpha_bonus*sample_alpha_level),0)</f>
        <v>183</v>
      </c>
      <c r="E23" s="1" t="n">
        <f aca="false">ROUND(($E$9*cp_w_power+$F$9*cp_w_speed+$G$9*cp_w_hp)*tier_coef^($A23-1)*(1+alpha_bonus*sample_alpha_level),0)</f>
        <v>184</v>
      </c>
      <c r="F23" s="1" t="n">
        <f aca="false">ROUND(($E$10*cp_w_power+$F$10*cp_w_speed+$G$10*cp_w_hp)*tier_coef^($A23-1)*(1+alpha_bonus*sample_alpha_level),0)</f>
        <v>139</v>
      </c>
    </row>
    <row r="24" customFormat="false" ht="15" hidden="false" customHeight="false" outlineLevel="0" collapsed="false">
      <c r="A24" s="1" t="n">
        <v>3</v>
      </c>
      <c r="B24" s="1" t="s">
        <v>216</v>
      </c>
      <c r="C24" s="1" t="n">
        <f aca="false">ROUND(($E$7*cp_w_power+$F$7*cp_w_speed+$G$7*cp_w_hp)*tier_coef^($A24-1)*(1+alpha_bonus*sample_alpha_level),0)</f>
        <v>211</v>
      </c>
      <c r="D24" s="1" t="n">
        <f aca="false">ROUND(($E$8*cp_w_power+$F$8*cp_w_speed+$G$8*cp_w_hp)*tier_coef^($A24-1)*(1+alpha_bonus*sample_alpha_level),0)</f>
        <v>266</v>
      </c>
      <c r="E24" s="1" t="n">
        <f aca="false">ROUND(($E$9*cp_w_power+$F$9*cp_w_speed+$G$9*cp_w_hp)*tier_coef^($A24-1)*(1+alpha_bonus*sample_alpha_level),0)</f>
        <v>267</v>
      </c>
      <c r="F24" s="1" t="n">
        <f aca="false">ROUND(($E$10*cp_w_power+$F$10*cp_w_speed+$G$10*cp_w_hp)*tier_coef^($A24-1)*(1+alpha_bonus*sample_alpha_level),0)</f>
        <v>201</v>
      </c>
    </row>
    <row r="25" customFormat="false" ht="15" hidden="false" customHeight="false" outlineLevel="0" collapsed="false">
      <c r="A25" s="1" t="n">
        <v>4</v>
      </c>
      <c r="B25" s="1" t="s">
        <v>217</v>
      </c>
      <c r="C25" s="1" t="n">
        <f aca="false">ROUND(($E$7*cp_w_power+$F$7*cp_w_speed+$G$7*cp_w_hp)*tier_coef^($A25-1)*(1+alpha_bonus*sample_alpha_level),0)</f>
        <v>306</v>
      </c>
      <c r="D25" s="1" t="n">
        <f aca="false">ROUND(($E$8*cp_w_power+$F$8*cp_w_speed+$G$8*cp_w_hp)*tier_coef^($A25-1)*(1+alpha_bonus*sample_alpha_level),0)</f>
        <v>385</v>
      </c>
      <c r="E25" s="1" t="n">
        <f aca="false">ROUND(($E$9*cp_w_power+$F$9*cp_w_speed+$G$9*cp_w_hp)*tier_coef^($A25-1)*(1+alpha_bonus*sample_alpha_level),0)</f>
        <v>388</v>
      </c>
      <c r="F25" s="1" t="n">
        <f aca="false">ROUND(($E$10*cp_w_power+$F$10*cp_w_speed+$G$10*cp_w_hp)*tier_coef^($A25-1)*(1+alpha_bonus*sample_alpha_level),0)</f>
        <v>292</v>
      </c>
    </row>
    <row r="26" customFormat="false" ht="15" hidden="false" customHeight="false" outlineLevel="0" collapsed="false">
      <c r="A26" s="1" t="n">
        <v>5</v>
      </c>
      <c r="B26" s="1" t="s">
        <v>218</v>
      </c>
      <c r="C26" s="1" t="n">
        <f aca="false">ROUND(($E$7*cp_w_power+$F$7*cp_w_speed+$G$7*cp_w_hp)*tier_coef^($A26-1)*(1+alpha_bonus*sample_alpha_level),0)</f>
        <v>444</v>
      </c>
      <c r="D26" s="1" t="n">
        <f aca="false">ROUND(($E$8*cp_w_power+$F$8*cp_w_speed+$G$8*cp_w_hp)*tier_coef^($A26-1)*(1+alpha_bonus*sample_alpha_level),0)</f>
        <v>559</v>
      </c>
      <c r="E26" s="1" t="n">
        <f aca="false">ROUND(($E$9*cp_w_power+$F$9*cp_w_speed+$G$9*cp_w_hp)*tier_coef^($A26-1)*(1+alpha_bonus*sample_alpha_level),0)</f>
        <v>562</v>
      </c>
      <c r="F26" s="1" t="n">
        <f aca="false">ROUND(($E$10*cp_w_power+$F$10*cp_w_speed+$G$10*cp_w_hp)*tier_coef^($A26-1)*(1+alpha_bonus*sample_alpha_level),0)</f>
        <v>423</v>
      </c>
    </row>
    <row r="27" customFormat="false" ht="15" hidden="false" customHeight="false" outlineLevel="0" collapsed="false">
      <c r="A27" s="1" t="n">
        <v>6</v>
      </c>
      <c r="B27" s="1" t="s">
        <v>219</v>
      </c>
      <c r="C27" s="1" t="n">
        <f aca="false">ROUND(($E$7*cp_w_power+$F$7*cp_w_speed+$G$7*cp_w_hp)*tier_coef^($A27-1)*(1+alpha_bonus*sample_alpha_level),0)</f>
        <v>644</v>
      </c>
      <c r="D27" s="1" t="n">
        <f aca="false">ROUND(($E$8*cp_w_power+$F$8*cp_w_speed+$G$8*cp_w_hp)*tier_coef^($A27-1)*(1+alpha_bonus*sample_alpha_level),0)</f>
        <v>810</v>
      </c>
      <c r="E27" s="1" t="n">
        <f aca="false">ROUND(($E$9*cp_w_power+$F$9*cp_w_speed+$G$9*cp_w_hp)*tier_coef^($A27-1)*(1+alpha_bonus*sample_alpha_level),0)</f>
        <v>815</v>
      </c>
      <c r="F27" s="1" t="n">
        <f aca="false">ROUND(($E$10*cp_w_power+$F$10*cp_w_speed+$G$10*cp_w_hp)*tier_coef^($A27-1)*(1+alpha_bonus*sample_alpha_level),0)</f>
        <v>614</v>
      </c>
    </row>
    <row r="28" customFormat="false" ht="15" hidden="false" customHeight="false" outlineLevel="0" collapsed="false">
      <c r="A28" s="1" t="s">
        <v>222</v>
      </c>
    </row>
    <row r="29" customFormat="false" ht="15" hidden="false" customHeight="false" outlineLevel="0" collapsed="false">
      <c r="A29" s="1" t="s">
        <v>223</v>
      </c>
      <c r="B29" s="1" t="s">
        <v>176</v>
      </c>
      <c r="C29" s="1" t="s">
        <v>177</v>
      </c>
      <c r="D29" s="1" t="s">
        <v>178</v>
      </c>
      <c r="E29" s="1" t="s">
        <v>179</v>
      </c>
    </row>
    <row r="30" customFormat="false" ht="15" hidden="false" customHeight="false" outlineLevel="0" collapsed="false">
      <c r="A30" s="1" t="s">
        <v>176</v>
      </c>
      <c r="B30" s="1" t="n">
        <f aca="false">1</f>
        <v>1</v>
      </c>
      <c r="C30" s="1" t="n">
        <f aca="false">ROUND(1/counter_bonus,2)</f>
        <v>0.77</v>
      </c>
      <c r="D30" s="1" t="n">
        <f aca="false">counter_bonus</f>
        <v>1.3</v>
      </c>
      <c r="E30" s="1" t="n">
        <v>1</v>
      </c>
    </row>
    <row r="31" customFormat="false" ht="15" hidden="false" customHeight="false" outlineLevel="0" collapsed="false">
      <c r="A31" s="1" t="s">
        <v>177</v>
      </c>
      <c r="B31" s="1" t="n">
        <f aca="false">counter_bonus</f>
        <v>1.3</v>
      </c>
      <c r="C31" s="1" t="n">
        <f aca="false">1</f>
        <v>1</v>
      </c>
      <c r="D31" s="1" t="n">
        <f aca="false">ROUND(1/counter_bonus,2)</f>
        <v>0.77</v>
      </c>
      <c r="E31" s="1" t="n">
        <v>1</v>
      </c>
    </row>
    <row r="32" customFormat="false" ht="15" hidden="false" customHeight="false" outlineLevel="0" collapsed="false">
      <c r="A32" s="1" t="s">
        <v>178</v>
      </c>
      <c r="B32" s="1" t="n">
        <f aca="false">ROUND(1/counter_bonus,2)</f>
        <v>0.77</v>
      </c>
      <c r="C32" s="1" t="n">
        <f aca="false">counter_bonus</f>
        <v>1.3</v>
      </c>
      <c r="D32" s="1" t="n">
        <f aca="false">1</f>
        <v>1</v>
      </c>
      <c r="E32" s="1" t="n">
        <v>1</v>
      </c>
    </row>
    <row r="33" customFormat="false" ht="15" hidden="false" customHeight="false" outlineLevel="0" collapsed="false">
      <c r="A33" s="1" t="s">
        <v>179</v>
      </c>
      <c r="B33" s="1" t="n">
        <v>1</v>
      </c>
      <c r="C33" s="1" t="n">
        <v>1</v>
      </c>
      <c r="D33" s="1" t="n">
        <v>1</v>
      </c>
      <c r="E33" s="1" t="n">
        <v>1</v>
      </c>
    </row>
    <row r="34" customFormat="false" ht="15" hidden="false" customHeight="false" outlineLevel="0" collapsed="false">
      <c r="A34" s="1" t="s">
        <v>224</v>
      </c>
    </row>
    <row r="35" customFormat="false" ht="15" hidden="false" customHeight="false" outlineLevel="0" collapsed="false">
      <c r="A35" s="1" t="s">
        <v>225</v>
      </c>
    </row>
    <row r="36" customFormat="false" ht="15" hidden="false" customHeight="false" outlineLevel="0" collapsed="false">
      <c r="A36" s="1" t="s">
        <v>226</v>
      </c>
    </row>
    <row r="37" customFormat="false" ht="15" hidden="false" customHeight="false" outlineLevel="0" collapsed="false">
      <c r="A37" s="1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T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3" customFormat="false" ht="15" hidden="false" customHeight="false" outlineLevel="0" collapsed="false">
      <c r="A3" s="1" t="s">
        <v>228</v>
      </c>
    </row>
    <row r="4" customFormat="false" ht="15" hidden="false" customHeight="false" outlineLevel="0" collapsed="false">
      <c r="A4" s="1" t="s">
        <v>229</v>
      </c>
    </row>
    <row r="5" customFormat="false" ht="15" hidden="false" customHeight="false" outlineLevel="0" collapsed="false">
      <c r="A5" s="2" t="s">
        <v>2</v>
      </c>
      <c r="B5" s="2" t="s">
        <v>3</v>
      </c>
      <c r="C5" s="2" t="s">
        <v>230</v>
      </c>
      <c r="D5" s="2" t="s">
        <v>231</v>
      </c>
      <c r="E5" s="2" t="s">
        <v>137</v>
      </c>
      <c r="F5" s="2" t="s">
        <v>232</v>
      </c>
      <c r="G5" s="2" t="s">
        <v>233</v>
      </c>
      <c r="H5" s="2" t="s">
        <v>234</v>
      </c>
      <c r="I5" s="2" t="s">
        <v>235</v>
      </c>
      <c r="J5" s="2" t="s">
        <v>236</v>
      </c>
      <c r="K5" s="2" t="s">
        <v>237</v>
      </c>
      <c r="L5" s="2" t="s">
        <v>238</v>
      </c>
      <c r="M5" s="2" t="s">
        <v>239</v>
      </c>
      <c r="N5" s="2" t="s">
        <v>240</v>
      </c>
      <c r="O5" s="2" t="s">
        <v>241</v>
      </c>
      <c r="P5" s="2" t="s">
        <v>242</v>
      </c>
      <c r="Q5" s="2" t="s">
        <v>243</v>
      </c>
      <c r="R5" s="2" t="s">
        <v>244</v>
      </c>
      <c r="S5" s="2" t="s">
        <v>245</v>
      </c>
      <c r="T5" s="2" t="s">
        <v>246</v>
      </c>
    </row>
    <row r="6" customFormat="false" ht="15" hidden="false" customHeight="false" outlineLevel="0" collapsed="false">
      <c r="A6" s="1" t="n">
        <v>1</v>
      </c>
      <c r="B6" s="1" t="str">
        <f aca="false">Darajalar!B6</f>
        <v>Honsyu boʻrisi</v>
      </c>
      <c r="C6" s="1" t="n">
        <f aca="false">Oziqlanish!K6</f>
        <v>3</v>
      </c>
      <c r="D6" s="1" t="n">
        <f aca="false">Oziqlanish!L6</f>
        <v>1</v>
      </c>
      <c r="E6" s="1" t="n">
        <f aca="false">cave_protect_base+cave_protect_growth*(D6-1)</f>
        <v>0.3</v>
      </c>
      <c r="F6" s="1" t="n">
        <f aca="false">ROUND(C6*(1-E6),0)</f>
        <v>2</v>
      </c>
      <c r="G6" s="1" t="n">
        <f aca="false">'Askar iqtisodi'!D24</f>
        <v>0</v>
      </c>
      <c r="H6" s="1" t="n">
        <f aca="false">IF(G6=0,0,'Askar iqtisodi'!G24)</f>
        <v>0</v>
      </c>
      <c r="I6" s="1" t="n">
        <f aca="false">G6*loot_carry_base*(1+loot_carry_tier*H6)</f>
        <v>0</v>
      </c>
      <c r="J6" s="1" t="n">
        <f aca="false">ROUND(MIN(F6*raid_coef,I6),0)</f>
        <v>0</v>
      </c>
      <c r="K6" s="1" t="n">
        <f aca="false">Oziqlanish!E6</f>
        <v>1</v>
      </c>
      <c r="L6" s="1" t="n">
        <f aca="false">J6/K6</f>
        <v>0</v>
      </c>
      <c r="M6" s="1" t="str">
        <f aca="false">IF(L6&lt;=loot_cap_ratio,"OK","⚠️ Chegaradan oshdi")</f>
        <v>OK</v>
      </c>
      <c r="N6" s="1" t="n">
        <f aca="false">MAX(shield_newbie_level+1,A6-attack_window_down)</f>
        <v>7</v>
      </c>
      <c r="O6" s="1" t="n">
        <f aca="false">MIN(25,A6+attack_window_up)</f>
        <v>2</v>
      </c>
      <c r="P6" s="1" t="n">
        <f aca="false">IF(A6&lt;=shield_newbie_level,0,MAX(0,O6-N6+1))</f>
        <v>0</v>
      </c>
      <c r="Q6" s="1" t="str">
        <f aca="false">IF(A6&lt;bot_unlock_level,"Jang yoʻq",IF(A6&lt;=shield_newbie_level,"🤖 Faqat botlar — oʻzi qalqon ostida",IF(P6&lt;3,"Cheklangan tanlov","Normal")))</f>
        <v>Jang yoʻq</v>
      </c>
      <c r="R6" s="1" t="n">
        <f aca="false">MAX(shield_newbie_level+1,A6-window_max)</f>
        <v>7</v>
      </c>
      <c r="S6" s="1" t="n">
        <f aca="false">MIN(25,A6+window_max)</f>
        <v>4</v>
      </c>
      <c r="T6" s="1" t="n">
        <f aca="false">IF(A6&lt;=shield_newbie_level,0,MAX(0,S6-R6+1))</f>
        <v>0</v>
      </c>
    </row>
    <row r="7" customFormat="false" ht="15" hidden="false" customHeight="false" outlineLevel="0" collapsed="false">
      <c r="A7" s="1" t="n">
        <v>2</v>
      </c>
      <c r="B7" s="1" t="str">
        <f aca="false">Darajalar!B7</f>
        <v>Efiopiya boʻrisi</v>
      </c>
      <c r="C7" s="1" t="n">
        <f aca="false">Oziqlanish!K7</f>
        <v>3</v>
      </c>
      <c r="D7" s="1" t="n">
        <f aca="false">Oziqlanish!L7</f>
        <v>1</v>
      </c>
      <c r="E7" s="1" t="n">
        <f aca="false">cave_protect_base+cave_protect_growth*(D7-1)</f>
        <v>0.3</v>
      </c>
      <c r="F7" s="1" t="n">
        <f aca="false">ROUND(C7*(1-E7),0)</f>
        <v>2</v>
      </c>
      <c r="G7" s="1" t="n">
        <f aca="false">'Askar iqtisodi'!D25</f>
        <v>0</v>
      </c>
      <c r="H7" s="1" t="n">
        <f aca="false">IF(G7=0,0,'Askar iqtisodi'!G25)</f>
        <v>0</v>
      </c>
      <c r="I7" s="1" t="n">
        <f aca="false">G7*loot_carry_base*(1+loot_carry_tier*H7)</f>
        <v>0</v>
      </c>
      <c r="J7" s="1" t="n">
        <f aca="false">ROUND(MIN(F7*raid_coef,I7),0)</f>
        <v>0</v>
      </c>
      <c r="K7" s="1" t="n">
        <f aca="false">Oziqlanish!E7</f>
        <v>1</v>
      </c>
      <c r="L7" s="1" t="n">
        <f aca="false">J7/K7</f>
        <v>0</v>
      </c>
      <c r="M7" s="1" t="str">
        <f aca="false">IF(L7&lt;=loot_cap_ratio,"OK","⚠️ Chegaradan oshdi")</f>
        <v>OK</v>
      </c>
      <c r="N7" s="1" t="n">
        <f aca="false">MAX(shield_newbie_level+1,A7-attack_window_down)</f>
        <v>7</v>
      </c>
      <c r="O7" s="1" t="n">
        <f aca="false">MIN(25,A7+attack_window_up)</f>
        <v>3</v>
      </c>
      <c r="P7" s="1" t="n">
        <f aca="false">IF(A7&lt;=shield_newbie_level,0,MAX(0,O7-N7+1))</f>
        <v>0</v>
      </c>
      <c r="Q7" s="1" t="str">
        <f aca="false">IF(A7&lt;bot_unlock_level,"Jang yoʻq",IF(A7&lt;=shield_newbie_level,"🤖 Faqat botlar — oʻzi qalqon ostida",IF(P7&lt;3,"Cheklangan tanlov","Normal")))</f>
        <v>Jang yoʻq</v>
      </c>
      <c r="R7" s="1" t="n">
        <f aca="false">MAX(shield_newbie_level+1,A7-window_max)</f>
        <v>7</v>
      </c>
      <c r="S7" s="1" t="n">
        <f aca="false">MIN(25,A7+window_max)</f>
        <v>5</v>
      </c>
      <c r="T7" s="1" t="n">
        <f aca="false">IF(A7&lt;=shield_newbie_level,0,MAX(0,S7-R7+1))</f>
        <v>0</v>
      </c>
    </row>
    <row r="8" customFormat="false" ht="15" hidden="false" customHeight="false" outlineLevel="0" collapsed="false">
      <c r="A8" s="1" t="n">
        <v>3</v>
      </c>
      <c r="B8" s="1" t="str">
        <f aca="false">Darajalar!B8</f>
        <v>Arab boʻrisi</v>
      </c>
      <c r="C8" s="1" t="n">
        <f aca="false">Oziqlanish!K8</f>
        <v>3</v>
      </c>
      <c r="D8" s="1" t="n">
        <f aca="false">Oziqlanish!L8</f>
        <v>1</v>
      </c>
      <c r="E8" s="1" t="n">
        <f aca="false">cave_protect_base+cave_protect_growth*(D8-1)</f>
        <v>0.3</v>
      </c>
      <c r="F8" s="1" t="n">
        <f aca="false">ROUND(C8*(1-E8),0)</f>
        <v>2</v>
      </c>
      <c r="G8" s="1" t="n">
        <f aca="false">'Askar iqtisodi'!D26</f>
        <v>0</v>
      </c>
      <c r="H8" s="1" t="n">
        <f aca="false">IF(G8=0,0,'Askar iqtisodi'!G26)</f>
        <v>0</v>
      </c>
      <c r="I8" s="1" t="n">
        <f aca="false">G8*loot_carry_base*(1+loot_carry_tier*H8)</f>
        <v>0</v>
      </c>
      <c r="J8" s="1" t="n">
        <f aca="false">ROUND(MIN(F8*raid_coef,I8),0)</f>
        <v>0</v>
      </c>
      <c r="K8" s="1" t="n">
        <f aca="false">Oziqlanish!E8</f>
        <v>1</v>
      </c>
      <c r="L8" s="1" t="n">
        <f aca="false">J8/K8</f>
        <v>0</v>
      </c>
      <c r="M8" s="1" t="str">
        <f aca="false">IF(L8&lt;=loot_cap_ratio,"OK","⚠️ Chegaradan oshdi")</f>
        <v>OK</v>
      </c>
      <c r="N8" s="1" t="n">
        <f aca="false">MAX(shield_newbie_level+1,A8-attack_window_down)</f>
        <v>7</v>
      </c>
      <c r="O8" s="1" t="n">
        <f aca="false">MIN(25,A8+attack_window_up)</f>
        <v>4</v>
      </c>
      <c r="P8" s="1" t="n">
        <f aca="false">IF(A8&lt;=shield_newbie_level,0,MAX(0,O8-N8+1))</f>
        <v>0</v>
      </c>
      <c r="Q8" s="1" t="str">
        <f aca="false">IF(A8&lt;bot_unlock_level,"Jang yoʻq",IF(A8&lt;=shield_newbie_level,"🤖 Faqat botlar — oʻzi qalqon ostida",IF(P8&lt;3,"Cheklangan tanlov","Normal")))</f>
        <v>Jang yoʻq</v>
      </c>
      <c r="R8" s="1" t="n">
        <f aca="false">MAX(shield_newbie_level+1,A8-window_max)</f>
        <v>7</v>
      </c>
      <c r="S8" s="1" t="n">
        <f aca="false">MIN(25,A8+window_max)</f>
        <v>6</v>
      </c>
      <c r="T8" s="1" t="n">
        <f aca="false">IF(A8&lt;=shield_newbie_level,0,MAX(0,S8-R8+1))</f>
        <v>0</v>
      </c>
    </row>
    <row r="9" customFormat="false" ht="15" hidden="false" customHeight="false" outlineLevel="0" collapsed="false">
      <c r="A9" s="1" t="n">
        <v>4</v>
      </c>
      <c r="B9" s="1" t="str">
        <f aca="false">Darajalar!B9</f>
        <v>Hind boʻrisi</v>
      </c>
      <c r="C9" s="1" t="n">
        <f aca="false">Oziqlanish!K9</f>
        <v>27</v>
      </c>
      <c r="D9" s="1" t="n">
        <f aca="false">Oziqlanish!L9</f>
        <v>1</v>
      </c>
      <c r="E9" s="1" t="n">
        <f aca="false">cave_protect_base+cave_protect_growth*(D9-1)</f>
        <v>0.3</v>
      </c>
      <c r="F9" s="1" t="n">
        <f aca="false">ROUND(C9*(1-E9),0)</f>
        <v>19</v>
      </c>
      <c r="G9" s="1" t="n">
        <f aca="false">'Askar iqtisodi'!D27</f>
        <v>4</v>
      </c>
      <c r="H9" s="1" t="n">
        <f aca="false">IF(G9=0,0,'Askar iqtisodi'!G27)</f>
        <v>1</v>
      </c>
      <c r="I9" s="1" t="n">
        <f aca="false">G9*loot_carry_base*(1+loot_carry_tier*H9)</f>
        <v>72</v>
      </c>
      <c r="J9" s="1" t="n">
        <f aca="false">ROUND(MIN(F9*raid_coef,I9),0)</f>
        <v>4</v>
      </c>
      <c r="K9" s="1" t="n">
        <f aca="false">Oziqlanish!E9</f>
        <v>9</v>
      </c>
      <c r="L9" s="1" t="n">
        <f aca="false">J9/K9</f>
        <v>0.444444444444444</v>
      </c>
      <c r="M9" s="1" t="str">
        <f aca="false">IF(L9&lt;=loot_cap_ratio,"OK","⚠️ Chegaradan oshdi")</f>
        <v>OK</v>
      </c>
      <c r="N9" s="1" t="n">
        <f aca="false">MAX(shield_newbie_level+1,A9-attack_window_down)</f>
        <v>7</v>
      </c>
      <c r="O9" s="1" t="n">
        <f aca="false">MIN(25,A9+attack_window_up)</f>
        <v>5</v>
      </c>
      <c r="P9" s="1" t="n">
        <f aca="false">IF(A9&lt;=shield_newbie_level,0,MAX(0,O9-N9+1))</f>
        <v>0</v>
      </c>
      <c r="Q9" s="1" t="str">
        <f aca="false">IF(A9&lt;bot_unlock_level,"Jang yoʻq",IF(A9&lt;=shield_newbie_level,"🤖 Faqat botlar — oʻzi qalqon ostida",IF(P9&lt;3,"Cheklangan tanlov","Normal")))</f>
        <v>🤖 Faqat botlar — oʻzi qalqon ostida</v>
      </c>
      <c r="R9" s="1" t="n">
        <f aca="false">MAX(shield_newbie_level+1,A9-window_max)</f>
        <v>7</v>
      </c>
      <c r="S9" s="1" t="n">
        <f aca="false">MIN(25,A9+window_max)</f>
        <v>7</v>
      </c>
      <c r="T9" s="1" t="n">
        <f aca="false">IF(A9&lt;=shield_newbie_level,0,MAX(0,S9-R9+1))</f>
        <v>0</v>
      </c>
    </row>
    <row r="10" customFormat="false" ht="15" hidden="false" customHeight="false" outlineLevel="0" collapsed="false">
      <c r="A10" s="1" t="n">
        <v>5</v>
      </c>
      <c r="B10" s="1" t="str">
        <f aca="false">Darajalar!B10</f>
        <v>Qizil boʻri</v>
      </c>
      <c r="C10" s="1" t="n">
        <f aca="false">Oziqlanish!K10</f>
        <v>36</v>
      </c>
      <c r="D10" s="1" t="n">
        <f aca="false">Oziqlanish!L10</f>
        <v>1</v>
      </c>
      <c r="E10" s="1" t="n">
        <f aca="false">cave_protect_base+cave_protect_growth*(D10-1)</f>
        <v>0.3</v>
      </c>
      <c r="F10" s="1" t="n">
        <f aca="false">ROUND(C10*(1-E10),0)</f>
        <v>25</v>
      </c>
      <c r="G10" s="1" t="n">
        <f aca="false">'Askar iqtisodi'!D28</f>
        <v>6</v>
      </c>
      <c r="H10" s="1" t="n">
        <f aca="false">IF(G10=0,0,'Askar iqtisodi'!G28)</f>
        <v>1</v>
      </c>
      <c r="I10" s="1" t="n">
        <f aca="false">G10*loot_carry_base*(1+loot_carry_tier*H10)</f>
        <v>108</v>
      </c>
      <c r="J10" s="1" t="n">
        <f aca="false">ROUND(MIN(F10*raid_coef,I10),0)</f>
        <v>6</v>
      </c>
      <c r="K10" s="1" t="n">
        <f aca="false">Oziqlanish!E10</f>
        <v>12</v>
      </c>
      <c r="L10" s="1" t="n">
        <f aca="false">J10/K10</f>
        <v>0.5</v>
      </c>
      <c r="M10" s="1" t="str">
        <f aca="false">IF(L10&lt;=loot_cap_ratio,"OK","⚠️ Chegaradan oshdi")</f>
        <v>OK</v>
      </c>
      <c r="N10" s="1" t="n">
        <f aca="false">MAX(shield_newbie_level+1,A10-attack_window_down)</f>
        <v>7</v>
      </c>
      <c r="O10" s="1" t="n">
        <f aca="false">MIN(25,A10+attack_window_up)</f>
        <v>6</v>
      </c>
      <c r="P10" s="1" t="n">
        <f aca="false">IF(A10&lt;=shield_newbie_level,0,MAX(0,O10-N10+1))</f>
        <v>0</v>
      </c>
      <c r="Q10" s="1" t="str">
        <f aca="false">IF(A10&lt;bot_unlock_level,"Jang yoʻq",IF(A10&lt;=shield_newbie_level,"🤖 Faqat botlar — oʻzi qalqon ostida",IF(P10&lt;3,"Cheklangan tanlov","Normal")))</f>
        <v>🤖 Faqat botlar — oʻzi qalqon ostida</v>
      </c>
      <c r="R10" s="1" t="n">
        <f aca="false">MAX(shield_newbie_level+1,A10-window_max)</f>
        <v>7</v>
      </c>
      <c r="S10" s="1" t="n">
        <f aca="false">MIN(25,A10+window_max)</f>
        <v>8</v>
      </c>
      <c r="T10" s="1" t="n">
        <f aca="false">IF(A10&lt;=shield_newbie_level,0,MAX(0,S10-R10+1))</f>
        <v>0</v>
      </c>
    </row>
    <row r="11" customFormat="false" ht="15" hidden="false" customHeight="false" outlineLevel="0" collapsed="false">
      <c r="A11" s="1" t="n">
        <v>6</v>
      </c>
      <c r="B11" s="1" t="str">
        <f aca="false">Darajalar!B11</f>
        <v>Italyan boʻrisi</v>
      </c>
      <c r="C11" s="1" t="n">
        <f aca="false">Oziqlanish!K11</f>
        <v>45</v>
      </c>
      <c r="D11" s="1" t="n">
        <f aca="false">Oziqlanish!L11</f>
        <v>2</v>
      </c>
      <c r="E11" s="1" t="n">
        <f aca="false">cave_protect_base+cave_protect_growth*(D11-1)</f>
        <v>0.32</v>
      </c>
      <c r="F11" s="1" t="n">
        <f aca="false">ROUND(C11*(1-E11),0)</f>
        <v>31</v>
      </c>
      <c r="G11" s="1" t="n">
        <f aca="false">'Askar iqtisodi'!D29</f>
        <v>6</v>
      </c>
      <c r="H11" s="1" t="n">
        <f aca="false">IF(G11=0,0,'Askar iqtisodi'!G29)</f>
        <v>1</v>
      </c>
      <c r="I11" s="1" t="n">
        <f aca="false">G11*loot_carry_base*(1+loot_carry_tier*H11)</f>
        <v>108</v>
      </c>
      <c r="J11" s="1" t="n">
        <f aca="false">ROUND(MIN(F11*raid_coef,I11),0)</f>
        <v>7</v>
      </c>
      <c r="K11" s="1" t="n">
        <f aca="false">Oziqlanish!E11</f>
        <v>15</v>
      </c>
      <c r="L11" s="1" t="n">
        <f aca="false">J11/K11</f>
        <v>0.466666666666667</v>
      </c>
      <c r="M11" s="1" t="str">
        <f aca="false">IF(L11&lt;=loot_cap_ratio,"OK","⚠️ Chegaradan oshdi")</f>
        <v>OK</v>
      </c>
      <c r="N11" s="1" t="n">
        <f aca="false">MAX(shield_newbie_level+1,A11-attack_window_down)</f>
        <v>7</v>
      </c>
      <c r="O11" s="1" t="n">
        <f aca="false">MIN(25,A11+attack_window_up)</f>
        <v>7</v>
      </c>
      <c r="P11" s="1" t="n">
        <f aca="false">IF(A11&lt;=shield_newbie_level,0,MAX(0,O11-N11+1))</f>
        <v>0</v>
      </c>
      <c r="Q11" s="1" t="str">
        <f aca="false">IF(A11&lt;bot_unlock_level,"Jang yoʻq",IF(A11&lt;=shield_newbie_level,"🤖 Faqat botlar — oʻzi qalqon ostida",IF(P11&lt;3,"Cheklangan tanlov","Normal")))</f>
        <v>🤖 Faqat botlar — oʻzi qalqon ostida</v>
      </c>
      <c r="R11" s="1" t="n">
        <f aca="false">MAX(shield_newbie_level+1,A11-window_max)</f>
        <v>7</v>
      </c>
      <c r="S11" s="1" t="n">
        <f aca="false">MIN(25,A11+window_max)</f>
        <v>9</v>
      </c>
      <c r="T11" s="1" t="n">
        <f aca="false">IF(A11&lt;=shield_newbie_level,0,MAX(0,S11-R11+1))</f>
        <v>0</v>
      </c>
    </row>
    <row r="12" customFormat="false" ht="15" hidden="false" customHeight="false" outlineLevel="0" collapsed="false">
      <c r="A12" s="1" t="n">
        <v>7</v>
      </c>
      <c r="B12" s="1" t="str">
        <f aca="false">Darajalar!B12</f>
        <v>Meksika boʻrisi</v>
      </c>
      <c r="C12" s="1" t="n">
        <f aca="false">Oziqlanish!K12</f>
        <v>60</v>
      </c>
      <c r="D12" s="1" t="n">
        <f aca="false">Oziqlanish!L12</f>
        <v>4</v>
      </c>
      <c r="E12" s="1" t="n">
        <f aca="false">cave_protect_base+cave_protect_growth*(D12-1)</f>
        <v>0.36</v>
      </c>
      <c r="F12" s="1" t="n">
        <f aca="false">ROUND(C12*(1-E12),0)</f>
        <v>38</v>
      </c>
      <c r="G12" s="1" t="n">
        <f aca="false">'Askar iqtisodi'!D30</f>
        <v>8</v>
      </c>
      <c r="H12" s="1" t="n">
        <f aca="false">IF(G12=0,0,'Askar iqtisodi'!G30)</f>
        <v>1</v>
      </c>
      <c r="I12" s="1" t="n">
        <f aca="false">G12*loot_carry_base*(1+loot_carry_tier*H12)</f>
        <v>144</v>
      </c>
      <c r="J12" s="1" t="n">
        <f aca="false">ROUND(MIN(F12*raid_coef,I12),0)</f>
        <v>8</v>
      </c>
      <c r="K12" s="1" t="n">
        <f aca="false">Oziqlanish!E12</f>
        <v>20</v>
      </c>
      <c r="L12" s="1" t="n">
        <f aca="false">J12/K12</f>
        <v>0.4</v>
      </c>
      <c r="M12" s="1" t="str">
        <f aca="false">IF(L12&lt;=loot_cap_ratio,"OK","⚠️ Chegaradan oshdi")</f>
        <v>OK</v>
      </c>
      <c r="N12" s="1" t="n">
        <f aca="false">MAX(shield_newbie_level+1,A12-attack_window_down)</f>
        <v>7</v>
      </c>
      <c r="O12" s="1" t="n">
        <f aca="false">MIN(25,A12+attack_window_up)</f>
        <v>8</v>
      </c>
      <c r="P12" s="1" t="n">
        <f aca="false">IF(A12&lt;=shield_newbie_level,0,MAX(0,O12-N12+1))</f>
        <v>2</v>
      </c>
      <c r="Q12" s="1" t="str">
        <f aca="false">IF(A12&lt;bot_unlock_level,"Jang yoʻq",IF(A12&lt;=shield_newbie_level,"🤖 Faqat botlar — oʻzi qalqon ostida",IF(P12&lt;3,"Cheklangan tanlov","Normal")))</f>
        <v>Cheklangan tanlov</v>
      </c>
      <c r="R12" s="1" t="n">
        <f aca="false">MAX(shield_newbie_level+1,A12-window_max)</f>
        <v>7</v>
      </c>
      <c r="S12" s="1" t="n">
        <f aca="false">MIN(25,A12+window_max)</f>
        <v>10</v>
      </c>
      <c r="T12" s="1" t="n">
        <f aca="false">IF(A12&lt;=shield_newbie_level,0,MAX(0,S12-R12+1))</f>
        <v>4</v>
      </c>
    </row>
    <row r="13" customFormat="false" ht="15" hidden="false" customHeight="false" outlineLevel="0" collapsed="false">
      <c r="A13" s="1" t="n">
        <v>8</v>
      </c>
      <c r="B13" s="1" t="str">
        <f aca="false">Darajalar!B13</f>
        <v>Sharqiy boʻri</v>
      </c>
      <c r="C13" s="1" t="n">
        <f aca="false">Oziqlanish!K13</f>
        <v>81</v>
      </c>
      <c r="D13" s="1" t="n">
        <f aca="false">Oziqlanish!L13</f>
        <v>5</v>
      </c>
      <c r="E13" s="1" t="n">
        <f aca="false">cave_protect_base+cave_protect_growth*(D13-1)</f>
        <v>0.38</v>
      </c>
      <c r="F13" s="1" t="n">
        <f aca="false">ROUND(C13*(1-E13),0)</f>
        <v>50</v>
      </c>
      <c r="G13" s="1" t="n">
        <f aca="false">'Askar iqtisodi'!D31</f>
        <v>10</v>
      </c>
      <c r="H13" s="1" t="n">
        <f aca="false">IF(G13=0,0,'Askar iqtisodi'!G31)</f>
        <v>2</v>
      </c>
      <c r="I13" s="1" t="n">
        <f aca="false">G13*loot_carry_base*(1+loot_carry_tier*H13)</f>
        <v>210</v>
      </c>
      <c r="J13" s="1" t="n">
        <f aca="false">ROUND(MIN(F13*raid_coef,I13),0)</f>
        <v>11</v>
      </c>
      <c r="K13" s="1" t="n">
        <f aca="false">Oziqlanish!E13</f>
        <v>27</v>
      </c>
      <c r="L13" s="1" t="n">
        <f aca="false">J13/K13</f>
        <v>0.407407407407407</v>
      </c>
      <c r="M13" s="1" t="str">
        <f aca="false">IF(L13&lt;=loot_cap_ratio,"OK","⚠️ Chegaradan oshdi")</f>
        <v>OK</v>
      </c>
      <c r="N13" s="1" t="n">
        <f aca="false">MAX(shield_newbie_level+1,A13-attack_window_down)</f>
        <v>7</v>
      </c>
      <c r="O13" s="1" t="n">
        <f aca="false">MIN(25,A13+attack_window_up)</f>
        <v>9</v>
      </c>
      <c r="P13" s="1" t="n">
        <f aca="false">IF(A13&lt;=shield_newbie_level,0,MAX(0,O13-N13+1))</f>
        <v>3</v>
      </c>
      <c r="Q13" s="1" t="str">
        <f aca="false">IF(A13&lt;bot_unlock_level,"Jang yoʻq",IF(A13&lt;=shield_newbie_level,"🤖 Faqat botlar — oʻzi qalqon ostida",IF(P13&lt;3,"Cheklangan tanlov","Normal")))</f>
        <v>Normal</v>
      </c>
      <c r="R13" s="1" t="n">
        <f aca="false">MAX(shield_newbie_level+1,A13-window_max)</f>
        <v>7</v>
      </c>
      <c r="S13" s="1" t="n">
        <f aca="false">MIN(25,A13+window_max)</f>
        <v>11</v>
      </c>
      <c r="T13" s="1" t="n">
        <f aca="false">IF(A13&lt;=shield_newbie_level,0,MAX(0,S13-R13+1))</f>
        <v>5</v>
      </c>
    </row>
    <row r="14" customFormat="false" ht="15" hidden="false" customHeight="false" outlineLevel="0" collapsed="false">
      <c r="A14" s="1" t="n">
        <v>9</v>
      </c>
      <c r="B14" s="1" t="str">
        <f aca="false">Darajalar!B14</f>
        <v>Iberiya boʻrisi</v>
      </c>
      <c r="C14" s="1" t="n">
        <f aca="false">Oziqlanish!K14</f>
        <v>105</v>
      </c>
      <c r="D14" s="1" t="n">
        <f aca="false">Oziqlanish!L14</f>
        <v>6</v>
      </c>
      <c r="E14" s="1" t="n">
        <f aca="false">cave_protect_base+cave_protect_growth*(D14-1)</f>
        <v>0.4</v>
      </c>
      <c r="F14" s="1" t="n">
        <f aca="false">ROUND(C14*(1-E14),0)</f>
        <v>63</v>
      </c>
      <c r="G14" s="1" t="n">
        <f aca="false">'Askar iqtisodi'!D32</f>
        <v>11</v>
      </c>
      <c r="H14" s="1" t="n">
        <f aca="false">IF(G14=0,0,'Askar iqtisodi'!G32)</f>
        <v>2</v>
      </c>
      <c r="I14" s="1" t="n">
        <f aca="false">G14*loot_carry_base*(1+loot_carry_tier*H14)</f>
        <v>231</v>
      </c>
      <c r="J14" s="1" t="n">
        <f aca="false">ROUND(MIN(F14*raid_coef,I14),0)</f>
        <v>14</v>
      </c>
      <c r="K14" s="1" t="n">
        <f aca="false">Oziqlanish!E14</f>
        <v>35</v>
      </c>
      <c r="L14" s="1" t="n">
        <f aca="false">J14/K14</f>
        <v>0.4</v>
      </c>
      <c r="M14" s="1" t="str">
        <f aca="false">IF(L14&lt;=loot_cap_ratio,"OK","⚠️ Chegaradan oshdi")</f>
        <v>OK</v>
      </c>
      <c r="N14" s="1" t="n">
        <f aca="false">MAX(shield_newbie_level+1,A14-attack_window_down)</f>
        <v>8</v>
      </c>
      <c r="O14" s="1" t="n">
        <f aca="false">MIN(25,A14+attack_window_up)</f>
        <v>10</v>
      </c>
      <c r="P14" s="1" t="n">
        <f aca="false">IF(A14&lt;=shield_newbie_level,0,MAX(0,O14-N14+1))</f>
        <v>3</v>
      </c>
      <c r="Q14" s="1" t="str">
        <f aca="false">IF(A14&lt;bot_unlock_level,"Jang yoʻq",IF(A14&lt;=shield_newbie_level,"🤖 Faqat botlar — oʻzi qalqon ostida",IF(P14&lt;3,"Cheklangan tanlov","Normal")))</f>
        <v>Normal</v>
      </c>
      <c r="R14" s="1" t="n">
        <f aca="false">MAX(shield_newbie_level+1,A14-window_max)</f>
        <v>7</v>
      </c>
      <c r="S14" s="1" t="n">
        <f aca="false">MIN(25,A14+window_max)</f>
        <v>12</v>
      </c>
      <c r="T14" s="1" t="n">
        <f aca="false">IF(A14&lt;=shield_newbie_level,0,MAX(0,S14-R14+1))</f>
        <v>6</v>
      </c>
    </row>
    <row r="15" customFormat="false" ht="15" hidden="false" customHeight="false" outlineLevel="0" collapsed="false">
      <c r="A15" s="1" t="n">
        <v>10</v>
      </c>
      <c r="B15" s="1" t="str">
        <f aca="false">Darajalar!B15</f>
        <v>Dasht boʻrisi</v>
      </c>
      <c r="C15" s="1" t="n">
        <f aca="false">Oziqlanish!K15</f>
        <v>135</v>
      </c>
      <c r="D15" s="1" t="n">
        <f aca="false">Oziqlanish!L15</f>
        <v>8</v>
      </c>
      <c r="E15" s="1" t="n">
        <f aca="false">cave_protect_base+cave_protect_growth*(D15-1)</f>
        <v>0.44</v>
      </c>
      <c r="F15" s="1" t="n">
        <f aca="false">ROUND(C15*(1-E15),0)</f>
        <v>76</v>
      </c>
      <c r="G15" s="1" t="n">
        <f aca="false">'Askar iqtisodi'!D33</f>
        <v>13</v>
      </c>
      <c r="H15" s="1" t="n">
        <f aca="false">IF(G15=0,0,'Askar iqtisodi'!G33)</f>
        <v>2</v>
      </c>
      <c r="I15" s="1" t="n">
        <f aca="false">G15*loot_carry_base*(1+loot_carry_tier*H15)</f>
        <v>273</v>
      </c>
      <c r="J15" s="1" t="n">
        <f aca="false">ROUND(MIN(F15*raid_coef,I15),0)</f>
        <v>17</v>
      </c>
      <c r="K15" s="1" t="n">
        <f aca="false">Oziqlanish!E15</f>
        <v>45</v>
      </c>
      <c r="L15" s="1" t="n">
        <f aca="false">J15/K15</f>
        <v>0.377777777777778</v>
      </c>
      <c r="M15" s="1" t="str">
        <f aca="false">IF(L15&lt;=loot_cap_ratio,"OK","⚠️ Chegaradan oshdi")</f>
        <v>OK</v>
      </c>
      <c r="N15" s="1" t="n">
        <f aca="false">MAX(shield_newbie_level+1,A15-attack_window_down)</f>
        <v>9</v>
      </c>
      <c r="O15" s="1" t="n">
        <f aca="false">MIN(25,A15+attack_window_up)</f>
        <v>11</v>
      </c>
      <c r="P15" s="1" t="n">
        <f aca="false">IF(A15&lt;=shield_newbie_level,0,MAX(0,O15-N15+1))</f>
        <v>3</v>
      </c>
      <c r="Q15" s="1" t="str">
        <f aca="false">IF(A15&lt;bot_unlock_level,"Jang yoʻq",IF(A15&lt;=shield_newbie_level,"🤖 Faqat botlar — oʻzi qalqon ostida",IF(P15&lt;3,"Cheklangan tanlov","Normal")))</f>
        <v>Normal</v>
      </c>
      <c r="R15" s="1" t="n">
        <f aca="false">MAX(shield_newbie_level+1,A15-window_max)</f>
        <v>7</v>
      </c>
      <c r="S15" s="1" t="n">
        <f aca="false">MIN(25,A15+window_max)</f>
        <v>13</v>
      </c>
      <c r="T15" s="1" t="n">
        <f aca="false">IF(A15&lt;=shield_newbie_level,0,MAX(0,S15-R15+1))</f>
        <v>7</v>
      </c>
    </row>
    <row r="16" customFormat="false" ht="15" hidden="false" customHeight="false" outlineLevel="0" collapsed="false">
      <c r="A16" s="1" t="n">
        <v>11</v>
      </c>
      <c r="B16" s="1" t="str">
        <f aca="false">Darajalar!B16</f>
        <v>Himolay boʻrisi</v>
      </c>
      <c r="C16" s="1" t="n">
        <f aca="false">Oziqlanish!K16</f>
        <v>174</v>
      </c>
      <c r="D16" s="1" t="n">
        <f aca="false">Oziqlanish!L16</f>
        <v>9</v>
      </c>
      <c r="E16" s="1" t="n">
        <f aca="false">cave_protect_base+cave_protect_growth*(D16-1)</f>
        <v>0.46</v>
      </c>
      <c r="F16" s="1" t="n">
        <f aca="false">ROUND(C16*(1-E16),0)</f>
        <v>94</v>
      </c>
      <c r="G16" s="1" t="n">
        <f aca="false">'Askar iqtisodi'!D34</f>
        <v>17</v>
      </c>
      <c r="H16" s="1" t="n">
        <f aca="false">IF(G16=0,0,'Askar iqtisodi'!G34)</f>
        <v>2</v>
      </c>
      <c r="I16" s="1" t="n">
        <f aca="false">G16*loot_carry_base*(1+loot_carry_tier*H16)</f>
        <v>357</v>
      </c>
      <c r="J16" s="1" t="n">
        <f aca="false">ROUND(MIN(F16*raid_coef,I16),0)</f>
        <v>21</v>
      </c>
      <c r="K16" s="1" t="n">
        <f aca="false">Oziqlanish!E16</f>
        <v>58</v>
      </c>
      <c r="L16" s="1" t="n">
        <f aca="false">J16/K16</f>
        <v>0.362068965517241</v>
      </c>
      <c r="M16" s="1" t="str">
        <f aca="false">IF(L16&lt;=loot_cap_ratio,"OK","⚠️ Chegaradan oshdi")</f>
        <v>OK</v>
      </c>
      <c r="N16" s="1" t="n">
        <f aca="false">MAX(shield_newbie_level+1,A16-attack_window_down)</f>
        <v>10</v>
      </c>
      <c r="O16" s="1" t="n">
        <f aca="false">MIN(25,A16+attack_window_up)</f>
        <v>12</v>
      </c>
      <c r="P16" s="1" t="n">
        <f aca="false">IF(A16&lt;=shield_newbie_level,0,MAX(0,O16-N16+1))</f>
        <v>3</v>
      </c>
      <c r="Q16" s="1" t="str">
        <f aca="false">IF(A16&lt;bot_unlock_level,"Jang yoʻq",IF(A16&lt;=shield_newbie_level,"🤖 Faqat botlar — oʻzi qalqon ostida",IF(P16&lt;3,"Cheklangan tanlov","Normal")))</f>
        <v>Normal</v>
      </c>
      <c r="R16" s="1" t="n">
        <f aca="false">MAX(shield_newbie_level+1,A16-window_max)</f>
        <v>8</v>
      </c>
      <c r="S16" s="1" t="n">
        <f aca="false">MIN(25,A16+window_max)</f>
        <v>14</v>
      </c>
      <c r="T16" s="1" t="n">
        <f aca="false">IF(A16&lt;=shield_newbie_level,0,MAX(0,S16-R16+1))</f>
        <v>7</v>
      </c>
    </row>
    <row r="17" customFormat="false" ht="15" hidden="false" customHeight="false" outlineLevel="0" collapsed="false">
      <c r="A17" s="1" t="n">
        <v>12</v>
      </c>
      <c r="B17" s="1" t="str">
        <f aca="false">Darajalar!B17</f>
        <v>Ezo boʻrisi</v>
      </c>
      <c r="C17" s="1" t="n">
        <f aca="false">Oziqlanish!K17</f>
        <v>219</v>
      </c>
      <c r="D17" s="1" t="n">
        <f aca="false">Oziqlanish!L17</f>
        <v>10</v>
      </c>
      <c r="E17" s="1" t="n">
        <f aca="false">cave_protect_base+cave_protect_growth*(D17-1)</f>
        <v>0.48</v>
      </c>
      <c r="F17" s="1" t="n">
        <f aca="false">ROUND(C17*(1-E17),0)</f>
        <v>114</v>
      </c>
      <c r="G17" s="1" t="n">
        <f aca="false">'Askar iqtisodi'!D35</f>
        <v>19</v>
      </c>
      <c r="H17" s="1" t="n">
        <f aca="false">IF(G17=0,0,'Askar iqtisodi'!G35)</f>
        <v>3</v>
      </c>
      <c r="I17" s="1" t="n">
        <f aca="false">G17*loot_carry_base*(1+loot_carry_tier*H17)</f>
        <v>456</v>
      </c>
      <c r="J17" s="1" t="n">
        <f aca="false">ROUND(MIN(F17*raid_coef,I17),0)</f>
        <v>25</v>
      </c>
      <c r="K17" s="1" t="n">
        <f aca="false">Oziqlanish!E17</f>
        <v>73</v>
      </c>
      <c r="L17" s="1" t="n">
        <f aca="false">J17/K17</f>
        <v>0.342465753424658</v>
      </c>
      <c r="M17" s="1" t="str">
        <f aca="false">IF(L17&lt;=loot_cap_ratio,"OK","⚠️ Chegaradan oshdi")</f>
        <v>OK</v>
      </c>
      <c r="N17" s="1" t="n">
        <f aca="false">MAX(shield_newbie_level+1,A17-attack_window_down)</f>
        <v>11</v>
      </c>
      <c r="O17" s="1" t="n">
        <f aca="false">MIN(25,A17+attack_window_up)</f>
        <v>13</v>
      </c>
      <c r="P17" s="1" t="n">
        <f aca="false">IF(A17&lt;=shield_newbie_level,0,MAX(0,O17-N17+1))</f>
        <v>3</v>
      </c>
      <c r="Q17" s="1" t="str">
        <f aca="false">IF(A17&lt;bot_unlock_level,"Jang yoʻq",IF(A17&lt;=shield_newbie_level,"🤖 Faqat botlar — oʻzi qalqon ostida",IF(P17&lt;3,"Cheklangan tanlov","Normal")))</f>
        <v>Normal</v>
      </c>
      <c r="R17" s="1" t="n">
        <f aca="false">MAX(shield_newbie_level+1,A17-window_max)</f>
        <v>9</v>
      </c>
      <c r="S17" s="1" t="n">
        <f aca="false">MIN(25,A17+window_max)</f>
        <v>15</v>
      </c>
      <c r="T17" s="1" t="n">
        <f aca="false">IF(A17&lt;=shield_newbie_level,0,MAX(0,S17-R17+1))</f>
        <v>7</v>
      </c>
    </row>
    <row r="18" customFormat="false" ht="15" hidden="false" customHeight="false" outlineLevel="0" collapsed="false">
      <c r="A18" s="1" t="n">
        <v>13</v>
      </c>
      <c r="B18" s="1" t="str">
        <f aca="false">Darajalar!B18</f>
        <v>Tibet boʻrisi</v>
      </c>
      <c r="C18" s="1" t="n">
        <f aca="false">Oziqlanish!K18</f>
        <v>282</v>
      </c>
      <c r="D18" s="1" t="n">
        <f aca="false">Oziqlanish!L18</f>
        <v>11</v>
      </c>
      <c r="E18" s="1" t="n">
        <f aca="false">cave_protect_base+cave_protect_growth*(D18-1)</f>
        <v>0.5</v>
      </c>
      <c r="F18" s="1" t="n">
        <f aca="false">ROUND(C18*(1-E18),0)</f>
        <v>141</v>
      </c>
      <c r="G18" s="1" t="n">
        <f aca="false">'Askar iqtisodi'!D36</f>
        <v>24</v>
      </c>
      <c r="H18" s="1" t="n">
        <f aca="false">IF(G18=0,0,'Askar iqtisodi'!G36)</f>
        <v>3</v>
      </c>
      <c r="I18" s="1" t="n">
        <f aca="false">G18*loot_carry_base*(1+loot_carry_tier*H18)</f>
        <v>576</v>
      </c>
      <c r="J18" s="1" t="n">
        <f aca="false">ROUND(MIN(F18*raid_coef,I18),0)</f>
        <v>31</v>
      </c>
      <c r="K18" s="1" t="n">
        <f aca="false">Oziqlanish!E18</f>
        <v>94</v>
      </c>
      <c r="L18" s="1" t="n">
        <f aca="false">J18/K18</f>
        <v>0.329787234042553</v>
      </c>
      <c r="M18" s="1" t="str">
        <f aca="false">IF(L18&lt;=loot_cap_ratio,"OK","⚠️ Chegaradan oshdi")</f>
        <v>OK</v>
      </c>
      <c r="N18" s="1" t="n">
        <f aca="false">MAX(shield_newbie_level+1,A18-attack_window_down)</f>
        <v>12</v>
      </c>
      <c r="O18" s="1" t="n">
        <f aca="false">MIN(25,A18+attack_window_up)</f>
        <v>14</v>
      </c>
      <c r="P18" s="1" t="n">
        <f aca="false">IF(A18&lt;=shield_newbie_level,0,MAX(0,O18-N18+1))</f>
        <v>3</v>
      </c>
      <c r="Q18" s="1" t="str">
        <f aca="false">IF(A18&lt;bot_unlock_level,"Jang yoʻq",IF(A18&lt;=shield_newbie_level,"🤖 Faqat botlar — oʻzi qalqon ostida",IF(P18&lt;3,"Cheklangan tanlov","Normal")))</f>
        <v>Normal</v>
      </c>
      <c r="R18" s="1" t="n">
        <f aca="false">MAX(shield_newbie_level+1,A18-window_max)</f>
        <v>10</v>
      </c>
      <c r="S18" s="1" t="n">
        <f aca="false">MIN(25,A18+window_max)</f>
        <v>16</v>
      </c>
      <c r="T18" s="1" t="n">
        <f aca="false">IF(A18&lt;=shield_newbie_level,0,MAX(0,S18-R18+1))</f>
        <v>7</v>
      </c>
    </row>
    <row r="19" customFormat="false" ht="15" hidden="false" customHeight="false" outlineLevel="0" collapsed="false">
      <c r="A19" s="1" t="n">
        <v>14</v>
      </c>
      <c r="B19" s="1" t="str">
        <f aca="false">Darajalar!B19</f>
        <v>Arktika boʻrisi</v>
      </c>
      <c r="C19" s="1" t="n">
        <f aca="false">Oziqlanish!K19</f>
        <v>354</v>
      </c>
      <c r="D19" s="1" t="n">
        <f aca="false">Oziqlanish!L19</f>
        <v>12</v>
      </c>
      <c r="E19" s="1" t="n">
        <f aca="false">cave_protect_base+cave_protect_growth*(D19-1)</f>
        <v>0.52</v>
      </c>
      <c r="F19" s="1" t="n">
        <f aca="false">ROUND(C19*(1-E19),0)</f>
        <v>170</v>
      </c>
      <c r="G19" s="1" t="n">
        <f aca="false">'Askar iqtisodi'!D37</f>
        <v>29</v>
      </c>
      <c r="H19" s="1" t="n">
        <f aca="false">IF(G19=0,0,'Askar iqtisodi'!G37)</f>
        <v>3</v>
      </c>
      <c r="I19" s="1" t="n">
        <f aca="false">G19*loot_carry_base*(1+loot_carry_tier*H19)</f>
        <v>696</v>
      </c>
      <c r="J19" s="1" t="n">
        <f aca="false">ROUND(MIN(F19*raid_coef,I19),0)</f>
        <v>37</v>
      </c>
      <c r="K19" s="1" t="n">
        <f aca="false">Oziqlanish!E19</f>
        <v>118</v>
      </c>
      <c r="L19" s="1" t="n">
        <f aca="false">J19/K19</f>
        <v>0.313559322033898</v>
      </c>
      <c r="M19" s="1" t="str">
        <f aca="false">IF(L19&lt;=loot_cap_ratio,"OK","⚠️ Chegaradan oshdi")</f>
        <v>OK</v>
      </c>
      <c r="N19" s="1" t="n">
        <f aca="false">MAX(shield_newbie_level+1,A19-attack_window_down)</f>
        <v>13</v>
      </c>
      <c r="O19" s="1" t="n">
        <f aca="false">MIN(25,A19+attack_window_up)</f>
        <v>15</v>
      </c>
      <c r="P19" s="1" t="n">
        <f aca="false">IF(A19&lt;=shield_newbie_level,0,MAX(0,O19-N19+1))</f>
        <v>3</v>
      </c>
      <c r="Q19" s="1" t="str">
        <f aca="false">IF(A19&lt;bot_unlock_level,"Jang yoʻq",IF(A19&lt;=shield_newbie_level,"🤖 Faqat botlar — oʻzi qalqon ostida",IF(P19&lt;3,"Cheklangan tanlov","Normal")))</f>
        <v>Normal</v>
      </c>
      <c r="R19" s="1" t="n">
        <f aca="false">MAX(shield_newbie_level+1,A19-window_max)</f>
        <v>11</v>
      </c>
      <c r="S19" s="1" t="n">
        <f aca="false">MIN(25,A19+window_max)</f>
        <v>17</v>
      </c>
      <c r="T19" s="1" t="n">
        <f aca="false">IF(A19&lt;=shield_newbie_level,0,MAX(0,S19-R19+1))</f>
        <v>7</v>
      </c>
    </row>
    <row r="20" customFormat="false" ht="15" hidden="false" customHeight="false" outlineLevel="0" collapsed="false">
      <c r="A20" s="1" t="n">
        <v>15</v>
      </c>
      <c r="B20" s="1" t="str">
        <f aca="false">Darajalar!B20</f>
        <v>Buyuk tekislik boʻrisi</v>
      </c>
      <c r="C20" s="1" t="n">
        <f aca="false">Oziqlanish!K20</f>
        <v>444</v>
      </c>
      <c r="D20" s="1" t="n">
        <f aca="false">Oziqlanish!L20</f>
        <v>14</v>
      </c>
      <c r="E20" s="1" t="n">
        <f aca="false">cave_protect_base+cave_protect_growth*(D20-1)</f>
        <v>0.56</v>
      </c>
      <c r="F20" s="1" t="n">
        <f aca="false">ROUND(C20*(1-E20),0)</f>
        <v>195</v>
      </c>
      <c r="G20" s="1" t="n">
        <f aca="false">'Askar iqtisodi'!D38</f>
        <v>33</v>
      </c>
      <c r="H20" s="1" t="n">
        <f aca="false">IF(G20=0,0,'Askar iqtisodi'!G38)</f>
        <v>3</v>
      </c>
      <c r="I20" s="1" t="n">
        <f aca="false">G20*loot_carry_base*(1+loot_carry_tier*H20)</f>
        <v>792</v>
      </c>
      <c r="J20" s="1" t="n">
        <f aca="false">ROUND(MIN(F20*raid_coef,I20),0)</f>
        <v>43</v>
      </c>
      <c r="K20" s="1" t="n">
        <f aca="false">Oziqlanish!E20</f>
        <v>148</v>
      </c>
      <c r="L20" s="1" t="n">
        <f aca="false">J20/K20</f>
        <v>0.290540540540541</v>
      </c>
      <c r="M20" s="1" t="str">
        <f aca="false">IF(L20&lt;=loot_cap_ratio,"OK","⚠️ Chegaradan oshdi")</f>
        <v>OK</v>
      </c>
      <c r="N20" s="1" t="n">
        <f aca="false">MAX(shield_newbie_level+1,A20-attack_window_down)</f>
        <v>14</v>
      </c>
      <c r="O20" s="1" t="n">
        <f aca="false">MIN(25,A20+attack_window_up)</f>
        <v>16</v>
      </c>
      <c r="P20" s="1" t="n">
        <f aca="false">IF(A20&lt;=shield_newbie_level,0,MAX(0,O20-N20+1))</f>
        <v>3</v>
      </c>
      <c r="Q20" s="1" t="str">
        <f aca="false">IF(A20&lt;bot_unlock_level,"Jang yoʻq",IF(A20&lt;=shield_newbie_level,"🤖 Faqat botlar — oʻzi qalqon ostida",IF(P20&lt;3,"Cheklangan tanlov","Normal")))</f>
        <v>Normal</v>
      </c>
      <c r="R20" s="1" t="n">
        <f aca="false">MAX(shield_newbie_level+1,A20-window_max)</f>
        <v>12</v>
      </c>
      <c r="S20" s="1" t="n">
        <f aca="false">MIN(25,A20+window_max)</f>
        <v>18</v>
      </c>
      <c r="T20" s="1" t="n">
        <f aca="false">IF(A20&lt;=shield_newbie_level,0,MAX(0,S20-R20+1))</f>
        <v>7</v>
      </c>
    </row>
    <row r="21" customFormat="false" ht="15" hidden="false" customHeight="false" outlineLevel="0" collapsed="false">
      <c r="A21" s="1" t="n">
        <v>16</v>
      </c>
      <c r="B21" s="1" t="str">
        <f aca="false">Darajalar!B21</f>
        <v>Yevroosiyo kulrang boʻrisi</v>
      </c>
      <c r="C21" s="1" t="n">
        <f aca="false">Oziqlanish!K21</f>
        <v>561</v>
      </c>
      <c r="D21" s="1" t="n">
        <f aca="false">Oziqlanish!L21</f>
        <v>15</v>
      </c>
      <c r="E21" s="1" t="n">
        <f aca="false">cave_protect_base+cave_protect_growth*(D21-1)</f>
        <v>0.58</v>
      </c>
      <c r="F21" s="1" t="n">
        <f aca="false">ROUND(C21*(1-E21),0)</f>
        <v>236</v>
      </c>
      <c r="G21" s="1" t="n">
        <f aca="false">'Askar iqtisodi'!D39</f>
        <v>40</v>
      </c>
      <c r="H21" s="1" t="n">
        <f aca="false">IF(G21=0,0,'Askar iqtisodi'!G39)</f>
        <v>4</v>
      </c>
      <c r="I21" s="1" t="n">
        <f aca="false">G21*loot_carry_base*(1+loot_carry_tier*H21)</f>
        <v>1080</v>
      </c>
      <c r="J21" s="1" t="n">
        <f aca="false">ROUND(MIN(F21*raid_coef,I21),0)</f>
        <v>52</v>
      </c>
      <c r="K21" s="1" t="n">
        <f aca="false">Oziqlanish!E21</f>
        <v>187</v>
      </c>
      <c r="L21" s="1" t="n">
        <f aca="false">J21/K21</f>
        <v>0.27807486631016</v>
      </c>
      <c r="M21" s="1" t="str">
        <f aca="false">IF(L21&lt;=loot_cap_ratio,"OK","⚠️ Chegaradan oshdi")</f>
        <v>OK</v>
      </c>
      <c r="N21" s="1" t="n">
        <f aca="false">MAX(shield_newbie_level+1,A21-attack_window_down)</f>
        <v>15</v>
      </c>
      <c r="O21" s="1" t="n">
        <f aca="false">MIN(25,A21+attack_window_up)</f>
        <v>17</v>
      </c>
      <c r="P21" s="1" t="n">
        <f aca="false">IF(A21&lt;=shield_newbie_level,0,MAX(0,O21-N21+1))</f>
        <v>3</v>
      </c>
      <c r="Q21" s="1" t="str">
        <f aca="false">IF(A21&lt;bot_unlock_level,"Jang yoʻq",IF(A21&lt;=shield_newbie_level,"🤖 Faqat botlar — oʻzi qalqon ostida",IF(P21&lt;3,"Cheklangan tanlov","Normal")))</f>
        <v>Normal</v>
      </c>
      <c r="R21" s="1" t="n">
        <f aca="false">MAX(shield_newbie_level+1,A21-window_max)</f>
        <v>13</v>
      </c>
      <c r="S21" s="1" t="n">
        <f aca="false">MIN(25,A21+window_max)</f>
        <v>19</v>
      </c>
      <c r="T21" s="1" t="n">
        <f aca="false">IF(A21&lt;=shield_newbie_level,0,MAX(0,S21-R21+1))</f>
        <v>7</v>
      </c>
    </row>
    <row r="22" customFormat="false" ht="15" hidden="false" customHeight="false" outlineLevel="0" collapsed="false">
      <c r="A22" s="1" t="n">
        <v>17</v>
      </c>
      <c r="B22" s="1" t="str">
        <f aca="false">Darajalar!B22</f>
        <v>Tundra boʻrisi</v>
      </c>
      <c r="C22" s="1" t="n">
        <f aca="false">Oziqlanish!K22</f>
        <v>705</v>
      </c>
      <c r="D22" s="1" t="n">
        <f aca="false">Oziqlanish!L22</f>
        <v>16</v>
      </c>
      <c r="E22" s="1" t="n">
        <f aca="false">cave_protect_base+cave_protect_growth*(D22-1)</f>
        <v>0.6</v>
      </c>
      <c r="F22" s="1" t="n">
        <f aca="false">ROUND(C22*(1-E22),0)</f>
        <v>282</v>
      </c>
      <c r="G22" s="1" t="n">
        <f aca="false">'Askar iqtisodi'!D40</f>
        <v>49</v>
      </c>
      <c r="H22" s="1" t="n">
        <f aca="false">IF(G22=0,0,'Askar iqtisodi'!G40)</f>
        <v>4</v>
      </c>
      <c r="I22" s="1" t="n">
        <f aca="false">G22*loot_carry_base*(1+loot_carry_tier*H22)</f>
        <v>1323</v>
      </c>
      <c r="J22" s="1" t="n">
        <f aca="false">ROUND(MIN(F22*raid_coef,I22),0)</f>
        <v>62</v>
      </c>
      <c r="K22" s="1" t="n">
        <f aca="false">Oziqlanish!E22</f>
        <v>235</v>
      </c>
      <c r="L22" s="1" t="n">
        <f aca="false">J22/K22</f>
        <v>0.263829787234043</v>
      </c>
      <c r="M22" s="1" t="str">
        <f aca="false">IF(L22&lt;=loot_cap_ratio,"OK","⚠️ Chegaradan oshdi")</f>
        <v>OK</v>
      </c>
      <c r="N22" s="1" t="n">
        <f aca="false">MAX(shield_newbie_level+1,A22-attack_window_down)</f>
        <v>16</v>
      </c>
      <c r="O22" s="1" t="n">
        <f aca="false">MIN(25,A22+attack_window_up)</f>
        <v>18</v>
      </c>
      <c r="P22" s="1" t="n">
        <f aca="false">IF(A22&lt;=shield_newbie_level,0,MAX(0,O22-N22+1))</f>
        <v>3</v>
      </c>
      <c r="Q22" s="1" t="str">
        <f aca="false">IF(A22&lt;bot_unlock_level,"Jang yoʻq",IF(A22&lt;=shield_newbie_level,"🤖 Faqat botlar — oʻzi qalqon ostida",IF(P22&lt;3,"Cheklangan tanlov","Normal")))</f>
        <v>Normal</v>
      </c>
      <c r="R22" s="1" t="n">
        <f aca="false">MAX(shield_newbie_level+1,A22-window_max)</f>
        <v>14</v>
      </c>
      <c r="S22" s="1" t="n">
        <f aca="false">MIN(25,A22+window_max)</f>
        <v>20</v>
      </c>
      <c r="T22" s="1" t="n">
        <f aca="false">IF(A22&lt;=shield_newbie_level,0,MAX(0,S22-R22+1))</f>
        <v>7</v>
      </c>
    </row>
    <row r="23" customFormat="false" ht="15" hidden="false" customHeight="false" outlineLevel="0" collapsed="false">
      <c r="A23" s="1" t="n">
        <v>18</v>
      </c>
      <c r="B23" s="1" t="str">
        <f aca="false">Darajalar!B23</f>
        <v>Alyaska ichki boʻrisi</v>
      </c>
      <c r="C23" s="1" t="n">
        <f aca="false">Oziqlanish!K23</f>
        <v>882</v>
      </c>
      <c r="D23" s="1" t="n">
        <f aca="false">Oziqlanish!L23</f>
        <v>17</v>
      </c>
      <c r="E23" s="1" t="n">
        <f aca="false">cave_protect_base+cave_protect_growth*(D23-1)</f>
        <v>0.62</v>
      </c>
      <c r="F23" s="1" t="n">
        <f aca="false">ROUND(C23*(1-E23),0)</f>
        <v>335</v>
      </c>
      <c r="G23" s="1" t="n">
        <f aca="false">'Askar iqtisodi'!D41</f>
        <v>57</v>
      </c>
      <c r="H23" s="1" t="n">
        <f aca="false">IF(G23=0,0,'Askar iqtisodi'!G41)</f>
        <v>4</v>
      </c>
      <c r="I23" s="1" t="n">
        <f aca="false">G23*loot_carry_base*(1+loot_carry_tier*H23)</f>
        <v>1539</v>
      </c>
      <c r="J23" s="1" t="n">
        <f aca="false">ROUND(MIN(F23*raid_coef,I23),0)</f>
        <v>74</v>
      </c>
      <c r="K23" s="1" t="n">
        <f aca="false">Oziqlanish!E23</f>
        <v>294</v>
      </c>
      <c r="L23" s="1" t="n">
        <f aca="false">J23/K23</f>
        <v>0.251700680272109</v>
      </c>
      <c r="M23" s="1" t="str">
        <f aca="false">IF(L23&lt;=loot_cap_ratio,"OK","⚠️ Chegaradan oshdi")</f>
        <v>OK</v>
      </c>
      <c r="N23" s="1" t="n">
        <f aca="false">MAX(shield_newbie_level+1,A23-attack_window_down)</f>
        <v>17</v>
      </c>
      <c r="O23" s="1" t="n">
        <f aca="false">MIN(25,A23+attack_window_up)</f>
        <v>19</v>
      </c>
      <c r="P23" s="1" t="n">
        <f aca="false">IF(A23&lt;=shield_newbie_level,0,MAX(0,O23-N23+1))</f>
        <v>3</v>
      </c>
      <c r="Q23" s="1" t="str">
        <f aca="false">IF(A23&lt;bot_unlock_level,"Jang yoʻq",IF(A23&lt;=shield_newbie_level,"🤖 Faqat botlar — oʻzi qalqon ostida",IF(P23&lt;3,"Cheklangan tanlov","Normal")))</f>
        <v>Normal</v>
      </c>
      <c r="R23" s="1" t="n">
        <f aca="false">MAX(shield_newbie_level+1,A23-window_max)</f>
        <v>15</v>
      </c>
      <c r="S23" s="1" t="n">
        <f aca="false">MIN(25,A23+window_max)</f>
        <v>21</v>
      </c>
      <c r="T23" s="1" t="n">
        <f aca="false">IF(A23&lt;=shield_newbie_level,0,MAX(0,S23-R23+1))</f>
        <v>7</v>
      </c>
    </row>
    <row r="24" customFormat="false" ht="15" hidden="false" customHeight="false" outlineLevel="0" collapsed="false">
      <c r="A24" s="1" t="n">
        <v>19</v>
      </c>
      <c r="B24" s="1" t="str">
        <f aca="false">Darajalar!B24</f>
        <v>Makkenzi vodiysi boʻrisi</v>
      </c>
      <c r="C24" s="1" t="n">
        <f aca="false">Oziqlanish!K24</f>
        <v>1110</v>
      </c>
      <c r="D24" s="1" t="n">
        <f aca="false">Oziqlanish!L24</f>
        <v>18</v>
      </c>
      <c r="E24" s="1" t="n">
        <f aca="false">cave_protect_base+cave_protect_growth*(D24-1)</f>
        <v>0.64</v>
      </c>
      <c r="F24" s="1" t="n">
        <f aca="false">ROUND(C24*(1-E24),0)</f>
        <v>400</v>
      </c>
      <c r="G24" s="1" t="n">
        <f aca="false">'Askar iqtisodi'!D42</f>
        <v>69</v>
      </c>
      <c r="H24" s="1" t="n">
        <f aca="false">IF(G24=0,0,'Askar iqtisodi'!G42)</f>
        <v>4</v>
      </c>
      <c r="I24" s="1" t="n">
        <f aca="false">G24*loot_carry_base*(1+loot_carry_tier*H24)</f>
        <v>1863</v>
      </c>
      <c r="J24" s="1" t="n">
        <f aca="false">ROUND(MIN(F24*raid_coef,I24),0)</f>
        <v>88</v>
      </c>
      <c r="K24" s="1" t="n">
        <f aca="false">Oziqlanish!E24</f>
        <v>370</v>
      </c>
      <c r="L24" s="1" t="n">
        <f aca="false">J24/K24</f>
        <v>0.237837837837838</v>
      </c>
      <c r="M24" s="1" t="str">
        <f aca="false">IF(L24&lt;=loot_cap_ratio,"OK","⚠️ Chegaradan oshdi")</f>
        <v>OK</v>
      </c>
      <c r="N24" s="1" t="n">
        <f aca="false">MAX(shield_newbie_level+1,A24-attack_window_down)</f>
        <v>18</v>
      </c>
      <c r="O24" s="1" t="n">
        <f aca="false">MIN(25,A24+attack_window_up)</f>
        <v>20</v>
      </c>
      <c r="P24" s="1" t="n">
        <f aca="false">IF(A24&lt;=shield_newbie_level,0,MAX(0,O24-N24+1))</f>
        <v>3</v>
      </c>
      <c r="Q24" s="1" t="str">
        <f aca="false">IF(A24&lt;bot_unlock_level,"Jang yoʻq",IF(A24&lt;=shield_newbie_level,"🤖 Faqat botlar — oʻzi qalqon ostida",IF(P24&lt;3,"Cheklangan tanlov","Normal")))</f>
        <v>Normal</v>
      </c>
      <c r="R24" s="1" t="n">
        <f aca="false">MAX(shield_newbie_level+1,A24-window_max)</f>
        <v>16</v>
      </c>
      <c r="S24" s="1" t="n">
        <f aca="false">MIN(25,A24+window_max)</f>
        <v>22</v>
      </c>
      <c r="T24" s="1" t="n">
        <f aca="false">IF(A24&lt;=shield_newbie_level,0,MAX(0,S24-R24+1))</f>
        <v>7</v>
      </c>
    </row>
    <row r="25" customFormat="false" ht="15" hidden="false" customHeight="false" outlineLevel="0" collapsed="false">
      <c r="A25" s="1" t="n">
        <v>20</v>
      </c>
      <c r="B25" s="1" t="str">
        <f aca="false">Darajalar!B25</f>
        <v>Beringiya boʻrisi</v>
      </c>
      <c r="C25" s="1" t="n">
        <f aca="false">Oziqlanish!K25</f>
        <v>1389</v>
      </c>
      <c r="D25" s="1" t="n">
        <f aca="false">Oziqlanish!L25</f>
        <v>19</v>
      </c>
      <c r="E25" s="1" t="n">
        <f aca="false">cave_protect_base+cave_protect_growth*(D25-1)</f>
        <v>0.66</v>
      </c>
      <c r="F25" s="1" t="n">
        <f aca="false">ROUND(C25*(1-E25),0)</f>
        <v>472</v>
      </c>
      <c r="G25" s="1" t="n">
        <f aca="false">'Askar iqtisodi'!D43</f>
        <v>83</v>
      </c>
      <c r="H25" s="1" t="n">
        <f aca="false">IF(G25=0,0,'Askar iqtisodi'!G43)</f>
        <v>5</v>
      </c>
      <c r="I25" s="1" t="n">
        <f aca="false">G25*loot_carry_base*(1+loot_carry_tier*H25)</f>
        <v>2490</v>
      </c>
      <c r="J25" s="1" t="n">
        <f aca="false">ROUND(MIN(F25*raid_coef,I25),0)</f>
        <v>104</v>
      </c>
      <c r="K25" s="1" t="n">
        <f aca="false">Oziqlanish!E25</f>
        <v>463</v>
      </c>
      <c r="L25" s="1" t="n">
        <f aca="false">J25/K25</f>
        <v>0.224622030237581</v>
      </c>
      <c r="M25" s="1" t="str">
        <f aca="false">IF(L25&lt;=loot_cap_ratio,"OK","⚠️ Chegaradan oshdi")</f>
        <v>OK</v>
      </c>
      <c r="N25" s="1" t="n">
        <f aca="false">MAX(shield_newbie_level+1,A25-attack_window_down)</f>
        <v>19</v>
      </c>
      <c r="O25" s="1" t="n">
        <f aca="false">MIN(25,A25+attack_window_up)</f>
        <v>21</v>
      </c>
      <c r="P25" s="1" t="n">
        <f aca="false">IF(A25&lt;=shield_newbie_level,0,MAX(0,O25-N25+1))</f>
        <v>3</v>
      </c>
      <c r="Q25" s="1" t="str">
        <f aca="false">IF(A25&lt;bot_unlock_level,"Jang yoʻq",IF(A25&lt;=shield_newbie_level,"🤖 Faqat botlar — oʻzi qalqon ostida",IF(P25&lt;3,"Cheklangan tanlov","Normal")))</f>
        <v>Normal</v>
      </c>
      <c r="R25" s="1" t="n">
        <f aca="false">MAX(shield_newbie_level+1,A25-window_max)</f>
        <v>17</v>
      </c>
      <c r="S25" s="1" t="n">
        <f aca="false">MIN(25,A25+window_max)</f>
        <v>23</v>
      </c>
      <c r="T25" s="1" t="n">
        <f aca="false">IF(A25&lt;=shield_newbie_level,0,MAX(0,S25-R25+1))</f>
        <v>7</v>
      </c>
    </row>
    <row r="26" customFormat="false" ht="15" hidden="false" customHeight="false" outlineLevel="0" collapsed="false">
      <c r="A26" s="1" t="n">
        <v>21</v>
      </c>
      <c r="B26" s="1" t="str">
        <f aca="false">Darajalar!B26</f>
        <v>Dahshatli boʻri</v>
      </c>
      <c r="C26" s="1" t="n">
        <f aca="false">Oziqlanish!K26</f>
        <v>1731</v>
      </c>
      <c r="D26" s="1" t="n">
        <f aca="false">Oziqlanish!L26</f>
        <v>20</v>
      </c>
      <c r="E26" s="1" t="n">
        <f aca="false">cave_protect_base+cave_protect_growth*(D26-1)</f>
        <v>0.68</v>
      </c>
      <c r="F26" s="1" t="n">
        <f aca="false">ROUND(C26*(1-E26),0)</f>
        <v>554</v>
      </c>
      <c r="G26" s="1" t="n">
        <f aca="false">'Askar iqtisodi'!D44</f>
        <v>101</v>
      </c>
      <c r="H26" s="1" t="n">
        <f aca="false">IF(G26=0,0,'Askar iqtisodi'!G44)</f>
        <v>5</v>
      </c>
      <c r="I26" s="1" t="n">
        <f aca="false">G26*loot_carry_base*(1+loot_carry_tier*H26)</f>
        <v>3030</v>
      </c>
      <c r="J26" s="1" t="n">
        <f aca="false">ROUND(MIN(F26*raid_coef,I26),0)</f>
        <v>122</v>
      </c>
      <c r="K26" s="1" t="n">
        <f aca="false">Oziqlanish!E26</f>
        <v>577</v>
      </c>
      <c r="L26" s="1" t="n">
        <f aca="false">J26/K26</f>
        <v>0.211438474870017</v>
      </c>
      <c r="M26" s="1" t="str">
        <f aca="false">IF(L26&lt;=loot_cap_ratio,"OK","⚠️ Chegaradan oshdi")</f>
        <v>OK</v>
      </c>
      <c r="N26" s="1" t="n">
        <f aca="false">MAX(shield_newbie_level+1,A26-attack_window_down)</f>
        <v>20</v>
      </c>
      <c r="O26" s="1" t="n">
        <f aca="false">MIN(25,A26+attack_window_up)</f>
        <v>22</v>
      </c>
      <c r="P26" s="1" t="n">
        <f aca="false">IF(A26&lt;=shield_newbie_level,0,MAX(0,O26-N26+1))</f>
        <v>3</v>
      </c>
      <c r="Q26" s="1" t="str">
        <f aca="false">IF(A26&lt;bot_unlock_level,"Jang yoʻq",IF(A26&lt;=shield_newbie_level,"🤖 Faqat botlar — oʻzi qalqon ostida",IF(P26&lt;3,"Cheklangan tanlov","Normal")))</f>
        <v>Normal</v>
      </c>
      <c r="R26" s="1" t="n">
        <f aca="false">MAX(shield_newbie_level+1,A26-window_max)</f>
        <v>18</v>
      </c>
      <c r="S26" s="1" t="n">
        <f aca="false">MIN(25,A26+window_max)</f>
        <v>24</v>
      </c>
      <c r="T26" s="1" t="n">
        <f aca="false">IF(A26&lt;=shield_newbie_level,0,MAX(0,S26-R26+1))</f>
        <v>7</v>
      </c>
    </row>
    <row r="27" customFormat="false" ht="15" hidden="false" customHeight="false" outlineLevel="0" collapsed="false">
      <c r="A27" s="1" t="n">
        <v>22</v>
      </c>
      <c r="B27" s="1" t="str">
        <f aca="false">Darajalar!B27</f>
        <v>Amarok</v>
      </c>
      <c r="C27" s="1" t="n">
        <f aca="false">Oziqlanish!K27</f>
        <v>2154</v>
      </c>
      <c r="D27" s="1" t="n">
        <f aca="false">Oziqlanish!L27</f>
        <v>22</v>
      </c>
      <c r="E27" s="1" t="n">
        <f aca="false">cave_protect_base+cave_protect_growth*(D27-1)</f>
        <v>0.72</v>
      </c>
      <c r="F27" s="1" t="n">
        <f aca="false">ROUND(C27*(1-E27),0)</f>
        <v>603</v>
      </c>
      <c r="G27" s="1" t="n">
        <f aca="false">'Askar iqtisodi'!D45</f>
        <v>120</v>
      </c>
      <c r="H27" s="1" t="n">
        <f aca="false">IF(G27=0,0,'Askar iqtisodi'!G45)</f>
        <v>5</v>
      </c>
      <c r="I27" s="1" t="n">
        <f aca="false">G27*loot_carry_base*(1+loot_carry_tier*H27)</f>
        <v>3600</v>
      </c>
      <c r="J27" s="1" t="n">
        <f aca="false">ROUND(MIN(F27*raid_coef,I27),0)</f>
        <v>133</v>
      </c>
      <c r="K27" s="1" t="n">
        <f aca="false">Oziqlanish!E27</f>
        <v>718</v>
      </c>
      <c r="L27" s="1" t="n">
        <f aca="false">J27/K27</f>
        <v>0.185236768802228</v>
      </c>
      <c r="M27" s="1" t="str">
        <f aca="false">IF(L27&lt;=loot_cap_ratio,"OK","⚠️ Chegaradan oshdi")</f>
        <v>OK</v>
      </c>
      <c r="N27" s="1" t="n">
        <f aca="false">MAX(shield_newbie_level+1,A27-attack_window_down)</f>
        <v>21</v>
      </c>
      <c r="O27" s="1" t="n">
        <f aca="false">MIN(25,A27+attack_window_up)</f>
        <v>23</v>
      </c>
      <c r="P27" s="1" t="n">
        <f aca="false">IF(A27&lt;=shield_newbie_level,0,MAX(0,O27-N27+1))</f>
        <v>3</v>
      </c>
      <c r="Q27" s="1" t="str">
        <f aca="false">IF(A27&lt;bot_unlock_level,"Jang yoʻq",IF(A27&lt;=shield_newbie_level,"🤖 Faqat botlar — oʻzi qalqon ostida",IF(P27&lt;3,"Cheklangan tanlov","Normal")))</f>
        <v>Normal</v>
      </c>
      <c r="R27" s="1" t="n">
        <f aca="false">MAX(shield_newbie_level+1,A27-window_max)</f>
        <v>19</v>
      </c>
      <c r="S27" s="1" t="n">
        <f aca="false">MIN(25,A27+window_max)</f>
        <v>25</v>
      </c>
      <c r="T27" s="1" t="n">
        <f aca="false">IF(A27&lt;=shield_newbie_level,0,MAX(0,S27-R27+1))</f>
        <v>7</v>
      </c>
    </row>
    <row r="28" customFormat="false" ht="15" hidden="false" customHeight="false" outlineLevel="0" collapsed="false">
      <c r="A28" s="1" t="n">
        <v>23</v>
      </c>
      <c r="B28" s="1" t="str">
        <f aca="false">Darajalar!B28</f>
        <v>Geri va Freki</v>
      </c>
      <c r="C28" s="1" t="n">
        <f aca="false">Oziqlanish!K28</f>
        <v>2679</v>
      </c>
      <c r="D28" s="1" t="n">
        <f aca="false">Oziqlanish!L28</f>
        <v>23</v>
      </c>
      <c r="E28" s="1" t="n">
        <f aca="false">cave_protect_base+cave_protect_growth*(D28-1)</f>
        <v>0.74</v>
      </c>
      <c r="F28" s="1" t="n">
        <f aca="false">ROUND(C28*(1-E28),0)</f>
        <v>697</v>
      </c>
      <c r="G28" s="1" t="n">
        <f aca="false">'Askar iqtisodi'!D46</f>
        <v>143</v>
      </c>
      <c r="H28" s="1" t="n">
        <f aca="false">IF(G28=0,0,'Askar iqtisodi'!G46)</f>
        <v>5</v>
      </c>
      <c r="I28" s="1" t="n">
        <f aca="false">G28*loot_carry_base*(1+loot_carry_tier*H28)</f>
        <v>4290</v>
      </c>
      <c r="J28" s="1" t="n">
        <f aca="false">ROUND(MIN(F28*raid_coef,I28),0)</f>
        <v>153</v>
      </c>
      <c r="K28" s="1" t="n">
        <f aca="false">Oziqlanish!E28</f>
        <v>893</v>
      </c>
      <c r="L28" s="1" t="n">
        <f aca="false">J28/K28</f>
        <v>0.171332586786114</v>
      </c>
      <c r="M28" s="1" t="str">
        <f aca="false">IF(L28&lt;=loot_cap_ratio,"OK","⚠️ Chegaradan oshdi")</f>
        <v>OK</v>
      </c>
      <c r="N28" s="1" t="n">
        <f aca="false">MAX(shield_newbie_level+1,A28-attack_window_down)</f>
        <v>22</v>
      </c>
      <c r="O28" s="1" t="n">
        <f aca="false">MIN(25,A28+attack_window_up)</f>
        <v>24</v>
      </c>
      <c r="P28" s="1" t="n">
        <f aca="false">IF(A28&lt;=shield_newbie_level,0,MAX(0,O28-N28+1))</f>
        <v>3</v>
      </c>
      <c r="Q28" s="1" t="str">
        <f aca="false">IF(A28&lt;bot_unlock_level,"Jang yoʻq",IF(A28&lt;=shield_newbie_level,"🤖 Faqat botlar — oʻzi qalqon ostida",IF(P28&lt;3,"Cheklangan tanlov","Normal")))</f>
        <v>Normal</v>
      </c>
      <c r="R28" s="1" t="n">
        <f aca="false">MAX(shield_newbie_level+1,A28-window_max)</f>
        <v>20</v>
      </c>
      <c r="S28" s="1" t="n">
        <f aca="false">MIN(25,A28+window_max)</f>
        <v>25</v>
      </c>
      <c r="T28" s="1" t="n">
        <f aca="false">IF(A28&lt;=shield_newbie_level,0,MAX(0,S28-R28+1))</f>
        <v>6</v>
      </c>
    </row>
    <row r="29" customFormat="false" ht="15" hidden="false" customHeight="false" outlineLevel="0" collapsed="false">
      <c r="A29" s="1" t="n">
        <v>24</v>
      </c>
      <c r="B29" s="1" t="str">
        <f aca="false">Darajalar!B29</f>
        <v>Fenrir</v>
      </c>
      <c r="C29" s="1" t="n">
        <f aca="false">Oziqlanish!K29</f>
        <v>3333</v>
      </c>
      <c r="D29" s="1" t="n">
        <f aca="false">Oziqlanish!L29</f>
        <v>24</v>
      </c>
      <c r="E29" s="1" t="n">
        <f aca="false">cave_protect_base+cave_protect_growth*(D29-1)</f>
        <v>0.76</v>
      </c>
      <c r="F29" s="1" t="n">
        <f aca="false">ROUND(C29*(1-E29),0)</f>
        <v>800</v>
      </c>
      <c r="G29" s="1" t="n">
        <f aca="false">'Askar iqtisodi'!D47</f>
        <v>172</v>
      </c>
      <c r="H29" s="1" t="n">
        <f aca="false">IF(G29=0,0,'Askar iqtisodi'!G47)</f>
        <v>6</v>
      </c>
      <c r="I29" s="1" t="n">
        <f aca="false">G29*loot_carry_base*(1+loot_carry_tier*H29)</f>
        <v>5676</v>
      </c>
      <c r="J29" s="1" t="n">
        <f aca="false">ROUND(MIN(F29*raid_coef,I29),0)</f>
        <v>176</v>
      </c>
      <c r="K29" s="1" t="n">
        <f aca="false">Oziqlanish!E29</f>
        <v>1111</v>
      </c>
      <c r="L29" s="1" t="n">
        <f aca="false">J29/K29</f>
        <v>0.158415841584158</v>
      </c>
      <c r="M29" s="1" t="str">
        <f aca="false">IF(L29&lt;=loot_cap_ratio,"OK","⚠️ Chegaradan oshdi")</f>
        <v>OK</v>
      </c>
      <c r="N29" s="1" t="n">
        <f aca="false">MAX(shield_newbie_level+1,A29-attack_window_down)</f>
        <v>23</v>
      </c>
      <c r="O29" s="1" t="n">
        <f aca="false">MIN(25,A29+attack_window_up)</f>
        <v>25</v>
      </c>
      <c r="P29" s="1" t="n">
        <f aca="false">IF(A29&lt;=shield_newbie_level,0,MAX(0,O29-N29+1))</f>
        <v>3</v>
      </c>
      <c r="Q29" s="1" t="str">
        <f aca="false">IF(A29&lt;bot_unlock_level,"Jang yoʻq",IF(A29&lt;=shield_newbie_level,"🤖 Faqat botlar — oʻzi qalqon ostida",IF(P29&lt;3,"Cheklangan tanlov","Normal")))</f>
        <v>Normal</v>
      </c>
      <c r="R29" s="1" t="n">
        <f aca="false">MAX(shield_newbie_level+1,A29-window_max)</f>
        <v>21</v>
      </c>
      <c r="S29" s="1" t="n">
        <f aca="false">MIN(25,A29+window_max)</f>
        <v>25</v>
      </c>
      <c r="T29" s="1" t="n">
        <f aca="false">IF(A29&lt;=shield_newbie_level,0,MAX(0,S29-R29+1))</f>
        <v>5</v>
      </c>
    </row>
    <row r="30" customFormat="false" ht="15" hidden="false" customHeight="false" outlineLevel="0" collapsed="false">
      <c r="A30" s="1" t="n">
        <v>25</v>
      </c>
      <c r="B30" s="1" t="str">
        <f aca="false">Darajalar!B30</f>
        <v>Koʻk Boʻri</v>
      </c>
      <c r="C30" s="1" t="n">
        <f aca="false">Oziqlanish!K30</f>
        <v>4140</v>
      </c>
      <c r="D30" s="1" t="n">
        <f aca="false">Oziqlanish!L30</f>
        <v>25</v>
      </c>
      <c r="E30" s="1" t="n">
        <f aca="false">cave_protect_base+cave_protect_growth*(D30-1)</f>
        <v>0.78</v>
      </c>
      <c r="F30" s="1" t="n">
        <f aca="false">ROUND(C30*(1-E30),0)</f>
        <v>911</v>
      </c>
      <c r="G30" s="1" t="n">
        <f aca="false">'Askar iqtisodi'!D48</f>
        <v>207</v>
      </c>
      <c r="H30" s="1" t="n">
        <f aca="false">IF(G30=0,0,'Askar iqtisodi'!G48)</f>
        <v>6</v>
      </c>
      <c r="I30" s="1" t="n">
        <f aca="false">G30*loot_carry_base*(1+loot_carry_tier*H30)</f>
        <v>6831</v>
      </c>
      <c r="J30" s="1" t="n">
        <f aca="false">ROUND(MIN(F30*raid_coef,I30),0)</f>
        <v>200</v>
      </c>
      <c r="K30" s="1" t="n">
        <f aca="false">Oziqlanish!E30</f>
        <v>1380</v>
      </c>
      <c r="L30" s="1" t="n">
        <f aca="false">J30/K30</f>
        <v>0.144927536231884</v>
      </c>
      <c r="M30" s="1" t="str">
        <f aca="false">IF(L30&lt;=loot_cap_ratio,"OK","⚠️ Chegaradan oshdi")</f>
        <v>OK</v>
      </c>
      <c r="N30" s="1" t="n">
        <f aca="false">MAX(shield_newbie_level+1,A30-attack_window_down)</f>
        <v>24</v>
      </c>
      <c r="O30" s="1" t="n">
        <f aca="false">MIN(25,A30+attack_window_up)</f>
        <v>25</v>
      </c>
      <c r="P30" s="1" t="n">
        <f aca="false">IF(A30&lt;=shield_newbie_level,0,MAX(0,O30-N30+1))</f>
        <v>2</v>
      </c>
      <c r="Q30" s="1" t="str">
        <f aca="false">IF(A30&lt;bot_unlock_level,"Jang yoʻq",IF(A30&lt;=shield_newbie_level,"🤖 Faqat botlar — oʻzi qalqon ostida",IF(P30&lt;3,"Cheklangan tanlov","Normal")))</f>
        <v>Cheklangan tanlov</v>
      </c>
      <c r="R30" s="1" t="n">
        <f aca="false">MAX(shield_newbie_level+1,A30-window_max)</f>
        <v>22</v>
      </c>
      <c r="S30" s="1" t="n">
        <f aca="false">MIN(25,A30+window_max)</f>
        <v>25</v>
      </c>
      <c r="T30" s="1" t="n">
        <f aca="false">IF(A30&lt;=shield_newbie_level,0,MAX(0,S30-R30+1))</f>
        <v>4</v>
      </c>
    </row>
    <row r="31" customFormat="false" ht="15" hidden="false" customHeight="false" outlineLevel="0" collapsed="false">
      <c r="A31" s="1" t="s">
        <v>247</v>
      </c>
      <c r="B31" s="1"/>
      <c r="C31" s="1"/>
      <c r="D31" s="1"/>
      <c r="E31" s="1" t="s">
        <v>248</v>
      </c>
      <c r="F31" s="1"/>
      <c r="G31" s="1"/>
      <c r="H31" s="1" t="s">
        <v>249</v>
      </c>
    </row>
    <row r="32" customFormat="false" ht="15" hidden="false" customHeight="false" outlineLevel="0" collapsed="false">
      <c r="A32" s="1" t="s">
        <v>174</v>
      </c>
      <c r="B32" s="1" t="s">
        <v>250</v>
      </c>
      <c r="C32" s="1" t="s">
        <v>251</v>
      </c>
      <c r="D32" s="1" t="s">
        <v>252</v>
      </c>
      <c r="E32" s="1" t="s">
        <v>253</v>
      </c>
      <c r="F32" s="1" t="s">
        <v>254</v>
      </c>
    </row>
    <row r="33" customFormat="false" ht="15" hidden="false" customHeight="false" outlineLevel="0" collapsed="false">
      <c r="A33" s="1" t="s">
        <v>255</v>
      </c>
      <c r="B33" s="1" t="n">
        <f aca="false">loot_level_m1</f>
        <v>0.7</v>
      </c>
      <c r="C33" s="1" t="s">
        <v>256</v>
      </c>
      <c r="D33" s="1"/>
      <c r="E33" s="1" t="s">
        <v>257</v>
      </c>
      <c r="F33" s="1" t="str">
        <f aca="false">shield_after_raid_h&amp;" soat (yoʻqotish "&amp;TEXT(shield_after_raid_loss,"0%")&amp;"+)"</f>
        <v>8 soat (yoʻqotish 30%+)</v>
      </c>
      <c r="G33" s="1"/>
      <c r="H33" s="1" t="n">
        <v>1</v>
      </c>
      <c r="I33" s="1" t="s">
        <v>258</v>
      </c>
      <c r="J33" s="1" t="s">
        <v>259</v>
      </c>
      <c r="K33" s="1" t="s">
        <v>260</v>
      </c>
      <c r="L33" s="1" t="s">
        <v>261</v>
      </c>
    </row>
    <row r="34" customFormat="false" ht="15" hidden="false" customHeight="false" outlineLevel="0" collapsed="false">
      <c r="A34" s="1" t="s">
        <v>262</v>
      </c>
      <c r="B34" s="1" t="n">
        <f aca="false">1</f>
        <v>1</v>
      </c>
      <c r="C34" s="1" t="s">
        <v>263</v>
      </c>
      <c r="D34" s="1"/>
      <c r="E34" s="1" t="s">
        <v>264</v>
      </c>
      <c r="F34" s="1" t="str">
        <f aca="false">shield_two_losses_h&amp;" soat"</f>
        <v>16 soat</v>
      </c>
      <c r="G34" s="1"/>
      <c r="H34" s="1" t="n">
        <v>2</v>
      </c>
      <c r="I34" s="1" t="s">
        <v>265</v>
      </c>
      <c r="J34" s="1" t="s">
        <v>266</v>
      </c>
      <c r="K34" s="1" t="s">
        <v>267</v>
      </c>
      <c r="L34" s="1" t="s">
        <v>268</v>
      </c>
    </row>
    <row r="35" customFormat="false" ht="15" hidden="false" customHeight="false" outlineLevel="0" collapsed="false">
      <c r="A35" s="1" t="s">
        <v>269</v>
      </c>
      <c r="B35" s="1" t="n">
        <f aca="false">loot_level_p1</f>
        <v>1.3</v>
      </c>
      <c r="C35" s="1" t="s">
        <v>270</v>
      </c>
      <c r="D35" s="1"/>
      <c r="E35" s="1" t="s">
        <v>271</v>
      </c>
      <c r="F35" s="1" t="s">
        <v>272</v>
      </c>
      <c r="G35" s="1"/>
      <c r="H35" s="1" t="n">
        <v>3</v>
      </c>
      <c r="I35" s="1" t="s">
        <v>273</v>
      </c>
      <c r="J35" s="1" t="s">
        <v>274</v>
      </c>
      <c r="K35" s="1" t="s">
        <v>275</v>
      </c>
      <c r="L35" s="1" t="s">
        <v>276</v>
      </c>
    </row>
    <row r="36" customFormat="false" ht="15" hidden="false" customHeight="false" outlineLevel="0" collapsed="false">
      <c r="A36" s="1" t="s">
        <v>277</v>
      </c>
      <c r="B36" s="1" t="n">
        <f aca="false">loot_level_m2</f>
        <v>0.5</v>
      </c>
      <c r="C36" s="1" t="s">
        <v>278</v>
      </c>
      <c r="D36" s="1"/>
      <c r="E36" s="1" t="s">
        <v>279</v>
      </c>
      <c r="F36" s="1" t="s">
        <v>280</v>
      </c>
    </row>
    <row r="37" customFormat="false" ht="15" hidden="false" customHeight="false" outlineLevel="0" collapsed="false">
      <c r="A37" s="1" t="s">
        <v>281</v>
      </c>
      <c r="B37" s="1" t="n">
        <f aca="false">loot_level_p2</f>
        <v>1.5</v>
      </c>
      <c r="C37" s="1" t="s">
        <v>278</v>
      </c>
      <c r="D37" s="1"/>
      <c r="E37" s="1" t="s">
        <v>282</v>
      </c>
      <c r="F37" s="1" t="s">
        <v>283</v>
      </c>
      <c r="G37" s="1"/>
      <c r="H37" s="1" t="s">
        <v>284</v>
      </c>
    </row>
    <row r="38" customFormat="false" ht="15" hidden="false" customHeight="false" outlineLevel="0" collapsed="false">
      <c r="A38" s="1" t="s">
        <v>285</v>
      </c>
      <c r="B38" s="1" t="n">
        <f aca="false">loot_level_m3</f>
        <v>0.3</v>
      </c>
      <c r="C38" s="1" t="s">
        <v>286</v>
      </c>
      <c r="D38" s="1"/>
      <c r="E38" s="1"/>
      <c r="F38" s="1"/>
      <c r="G38" s="1"/>
      <c r="H38" s="1" t="s">
        <v>287</v>
      </c>
    </row>
    <row r="39" customFormat="false" ht="15" hidden="false" customHeight="false" outlineLevel="0" collapsed="false">
      <c r="A39" s="1" t="s">
        <v>288</v>
      </c>
      <c r="B39" s="1" t="n">
        <f aca="false">loot_level_p3</f>
        <v>1.7</v>
      </c>
      <c r="C39" s="1" t="s">
        <v>286</v>
      </c>
      <c r="D39" s="1"/>
      <c r="E39" s="1"/>
      <c r="F39" s="1"/>
      <c r="G39" s="1"/>
      <c r="H39" s="1" t="s">
        <v>289</v>
      </c>
    </row>
    <row r="40" customFormat="false" ht="15" hidden="false" customHeight="false" outlineLevel="0" collapsed="false">
      <c r="A40" s="1" t="s">
        <v>290</v>
      </c>
      <c r="B40" s="1" t="n">
        <v>0</v>
      </c>
      <c r="C40" s="1" t="s">
        <v>291</v>
      </c>
    </row>
    <row r="41" customFormat="false" ht="15" hidden="false" customHeight="false" outlineLevel="0" collapsed="false">
      <c r="A41" s="1" t="s">
        <v>292</v>
      </c>
      <c r="B41" s="1" t="n">
        <v>1</v>
      </c>
      <c r="C41" s="1" t="s">
        <v>293</v>
      </c>
    </row>
    <row r="42" customFormat="false" ht="15" hidden="false" customHeight="false" outlineLevel="0" collapsed="false">
      <c r="A42" s="1" t="s">
        <v>294</v>
      </c>
      <c r="B42" s="1" t="n">
        <f aca="false">loot_partial_win</f>
        <v>0.55</v>
      </c>
      <c r="C42" s="1" t="s">
        <v>295</v>
      </c>
    </row>
    <row r="43" customFormat="false" ht="15" hidden="false" customHeight="false" outlineLevel="0" collapsed="false">
      <c r="A43" s="1" t="s">
        <v>296</v>
      </c>
      <c r="B43" s="1" t="n">
        <v>0</v>
      </c>
      <c r="C43" s="1" t="s">
        <v>297</v>
      </c>
    </row>
    <row r="44" customFormat="false" ht="15" hidden="false" customHeight="false" outlineLevel="0" collapsed="false">
      <c r="A44" s="1" t="s">
        <v>298</v>
      </c>
      <c r="B44" s="1" t="n">
        <v>1</v>
      </c>
      <c r="C44" s="1" t="s">
        <v>299</v>
      </c>
    </row>
    <row r="45" customFormat="false" ht="15" hidden="false" customHeight="false" outlineLevel="0" collapsed="false">
      <c r="A45" s="1" t="s">
        <v>300</v>
      </c>
      <c r="B45" s="1" t="n">
        <f aca="false">loot_repeat_2</f>
        <v>0.5</v>
      </c>
      <c r="C45" s="1" t="s">
        <v>299</v>
      </c>
    </row>
    <row r="46" customFormat="false" ht="15" hidden="false" customHeight="false" outlineLevel="0" collapsed="false">
      <c r="A46" s="1" t="s">
        <v>301</v>
      </c>
      <c r="B46" s="1" t="n">
        <f aca="false">loot_repeat_3</f>
        <v>0.25</v>
      </c>
      <c r="C46" s="1" t="s">
        <v>299</v>
      </c>
    </row>
    <row r="47" customFormat="false" ht="15" hidden="false" customHeight="false" outlineLevel="0" collapsed="false">
      <c r="A47" s="1" t="s">
        <v>302</v>
      </c>
      <c r="B47" s="1"/>
      <c r="C47" s="1"/>
    </row>
    <row r="48" customFormat="false" ht="15" hidden="false" customHeight="false" outlineLevel="0" collapsed="false">
      <c r="A48" s="1" t="s">
        <v>303</v>
      </c>
      <c r="B48" s="1" t="n">
        <f aca="false">1+revenge_bonus</f>
        <v>1.2</v>
      </c>
      <c r="C48" s="1" t="s">
        <v>304</v>
      </c>
    </row>
    <row r="49" customFormat="false" ht="15" hidden="false" customHeight="false" outlineLevel="0" collapsed="false">
      <c r="A49" s="1" t="s">
        <v>305</v>
      </c>
    </row>
    <row r="50" customFormat="false" ht="15" hidden="false" customHeight="false" outlineLevel="0" collapsed="false">
      <c r="A50" s="1" t="s">
        <v>306</v>
      </c>
    </row>
    <row r="51" customFormat="false" ht="15" hidden="false" customHeight="false" outlineLevel="0" collapsed="false">
      <c r="A51" s="1" t="s">
        <v>307</v>
      </c>
    </row>
    <row r="52" customFormat="false" ht="15" hidden="false" customHeight="false" outlineLevel="0" collapsed="false">
      <c r="A52" s="1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N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3" customFormat="false" ht="15" hidden="false" customHeight="false" outlineLevel="0" collapsed="false">
      <c r="A3" s="1" t="s">
        <v>309</v>
      </c>
    </row>
    <row r="4" customFormat="false" ht="15" hidden="false" customHeight="false" outlineLevel="0" collapsed="false">
      <c r="A4" s="1" t="s">
        <v>310</v>
      </c>
    </row>
    <row r="5" customFormat="false" ht="15" hidden="false" customHeight="false" outlineLevel="0" collapsed="false">
      <c r="A5" s="2" t="s">
        <v>2</v>
      </c>
      <c r="B5" s="2" t="s">
        <v>3</v>
      </c>
      <c r="C5" s="2" t="s">
        <v>311</v>
      </c>
      <c r="D5" s="2" t="s">
        <v>207</v>
      </c>
      <c r="E5" s="2" t="s">
        <v>312</v>
      </c>
      <c r="F5" s="2" t="s">
        <v>313</v>
      </c>
      <c r="G5" s="2" t="s">
        <v>314</v>
      </c>
      <c r="H5" s="2" t="s">
        <v>315</v>
      </c>
      <c r="I5" s="2" t="s">
        <v>316</v>
      </c>
      <c r="J5" s="2" t="s">
        <v>314</v>
      </c>
      <c r="K5" s="2" t="s">
        <v>317</v>
      </c>
      <c r="L5" s="2" t="s">
        <v>318</v>
      </c>
      <c r="M5" s="2" t="s">
        <v>314</v>
      </c>
      <c r="N5" s="2" t="s">
        <v>319</v>
      </c>
    </row>
    <row r="6" customFormat="false" ht="15" hidden="false" customHeight="false" outlineLevel="0" collapsed="false">
      <c r="A6" s="1" t="n">
        <v>1</v>
      </c>
      <c r="B6" s="1" t="str">
        <f aca="false">Darajalar!B6</f>
        <v>Honsyu boʻrisi</v>
      </c>
      <c r="C6" s="1" t="n">
        <f aca="false">'Askar iqtisodi'!C24</f>
        <v>0</v>
      </c>
      <c r="D6" s="1" t="n">
        <f aca="false">'Askar iqtisodi'!G24</f>
        <v>1</v>
      </c>
      <c r="E6" s="1" t="n">
        <f aca="false">ROUND(C6*(Rollar!$E$7*cp_w_power+Rollar!$F$7*cp_w_speed+Rollar!$G$7*cp_w_hp)*tier_coef^(D6-1)*(1+alpha_bonus*A6),0)</f>
        <v>0</v>
      </c>
      <c r="F6" s="1" t="n">
        <v>0</v>
      </c>
      <c r="G6" s="1" t="n">
        <f aca="false">IF(F6=0,0,ROUND(E6/F6,2))</f>
        <v>0</v>
      </c>
      <c r="H6" s="1" t="str">
        <f aca="false">IF(F6=0,"🛡 Qalqon / oyna tashqarisida",IF(G6&lt;=scout_partial,"❌ Muvaffaqiyatsiz — hech narsa koʻrinmaydi",IF(G6&lt;=scout_full,"◐ Qisman — faqat toʻda hajmi",IF(G6&lt;=scout_exact,"✔ Toʻliq — askar soni va oʻlja","★ Aniq — barcha raqamlar"))))</f>
        <v>🛡 Qalqon / oyna tashqarisida</v>
      </c>
      <c r="I6" s="1" t="n">
        <f aca="false">IF(A6&gt;shield_newbie_level,E6,0)</f>
        <v>0</v>
      </c>
      <c r="J6" s="1" t="n">
        <f aca="false">IF(I6=0,0,ROUND(E6/I6,2))</f>
        <v>0</v>
      </c>
      <c r="K6" s="1" t="str">
        <f aca="false">IF(I6=0,"🛡 Qalqon / oyna tashqarisida",IF(J6&lt;=scout_partial,"❌ Muvaffaqiyatsiz — hech narsa koʻrinmaydi",IF(J6&lt;=scout_full,"◐ Qisman — faqat toʻda hajmi",IF(J6&lt;=scout_exact,"✔ Toʻliq — askar soni va oʻlja","★ Aniq — barcha raqamlar"))))</f>
        <v>🛡 Qalqon / oyna tashqarisida</v>
      </c>
      <c r="L6" s="1" t="n">
        <f aca="false">IF(A6&gt;shield_newbie_level,E7,0)</f>
        <v>0</v>
      </c>
      <c r="M6" s="1" t="n">
        <f aca="false">IF(L6=0,0,ROUND(E6/L6,2))</f>
        <v>0</v>
      </c>
      <c r="N6" s="1" t="str">
        <f aca="false">IF(L6=0,"🛡 Qalqon / oyna tashqarisida",IF(M6&lt;=scout_partial,"❌ Muvaffaqiyatsiz — hech narsa koʻrinmaydi",IF(M6&lt;=scout_full,"◐ Qisman — faqat toʻda hajmi",IF(M6&lt;=scout_exact,"✔ Toʻliq — askar soni va oʻlja","★ Aniq — barcha raqamlar"))))</f>
        <v>🛡 Qalqon / oyna tashqarisida</v>
      </c>
    </row>
    <row r="7" customFormat="false" ht="15" hidden="false" customHeight="false" outlineLevel="0" collapsed="false">
      <c r="A7" s="1" t="n">
        <v>2</v>
      </c>
      <c r="B7" s="1" t="str">
        <f aca="false">Darajalar!B7</f>
        <v>Efiopiya boʻrisi</v>
      </c>
      <c r="C7" s="1" t="n">
        <f aca="false">'Askar iqtisodi'!C25</f>
        <v>0</v>
      </c>
      <c r="D7" s="1" t="n">
        <f aca="false">'Askar iqtisodi'!G25</f>
        <v>1</v>
      </c>
      <c r="E7" s="1" t="n">
        <f aca="false">ROUND(C7*(Rollar!$E$7*cp_w_power+Rollar!$F$7*cp_w_speed+Rollar!$G$7*cp_w_hp)*tier_coef^(D7-1)*(1+alpha_bonus*A7),0)</f>
        <v>0</v>
      </c>
      <c r="F7" s="1" t="n">
        <f aca="false">IF(AND(A7&gt;shield_newbie_level,A7-1&gt;shield_newbie_level),E6,0)</f>
        <v>0</v>
      </c>
      <c r="G7" s="1" t="n">
        <f aca="false">IF(F7=0,0,ROUND(E7/F7,2))</f>
        <v>0</v>
      </c>
      <c r="H7" s="1" t="str">
        <f aca="false">IF(F7=0,"🛡 Qalqon / oyna tashqarisida",IF(G7&lt;=scout_partial,"❌ Muvaffaqiyatsiz — hech narsa koʻrinmaydi",IF(G7&lt;=scout_full,"◐ Qisman — faqat toʻda hajmi",IF(G7&lt;=scout_exact,"✔ Toʻliq — askar soni va oʻlja","★ Aniq — barcha raqamlar"))))</f>
        <v>🛡 Qalqon / oyna tashqarisida</v>
      </c>
      <c r="I7" s="1" t="n">
        <f aca="false">IF(A7&gt;shield_newbie_level,E7,0)</f>
        <v>0</v>
      </c>
      <c r="J7" s="1" t="n">
        <f aca="false">IF(I7=0,0,ROUND(E7/I7,2))</f>
        <v>0</v>
      </c>
      <c r="K7" s="1" t="str">
        <f aca="false">IF(I7=0,"🛡 Qalqon / oyna tashqarisida",IF(J7&lt;=scout_partial,"❌ Muvaffaqiyatsiz — hech narsa koʻrinmaydi",IF(J7&lt;=scout_full,"◐ Qisman — faqat toʻda hajmi",IF(J7&lt;=scout_exact,"✔ Toʻliq — askar soni va oʻlja","★ Aniq — barcha raqamlar"))))</f>
        <v>🛡 Qalqon / oyna tashqarisida</v>
      </c>
      <c r="L7" s="1" t="n">
        <f aca="false">IF(A7&gt;shield_newbie_level,E8,0)</f>
        <v>0</v>
      </c>
      <c r="M7" s="1" t="n">
        <f aca="false">IF(L7=0,0,ROUND(E7/L7,2))</f>
        <v>0</v>
      </c>
      <c r="N7" s="1" t="str">
        <f aca="false">IF(L7=0,"🛡 Qalqon / oyna tashqarisida",IF(M7&lt;=scout_partial,"❌ Muvaffaqiyatsiz — hech narsa koʻrinmaydi",IF(M7&lt;=scout_full,"◐ Qisman — faqat toʻda hajmi",IF(M7&lt;=scout_exact,"✔ Toʻliq — askar soni va oʻlja","★ Aniq — barcha raqamlar"))))</f>
        <v>🛡 Qalqon / oyna tashqarisida</v>
      </c>
    </row>
    <row r="8" customFormat="false" ht="15" hidden="false" customHeight="false" outlineLevel="0" collapsed="false">
      <c r="A8" s="1" t="n">
        <v>3</v>
      </c>
      <c r="B8" s="1" t="str">
        <f aca="false">Darajalar!B8</f>
        <v>Arab boʻrisi</v>
      </c>
      <c r="C8" s="1" t="n">
        <f aca="false">'Askar iqtisodi'!C26</f>
        <v>0</v>
      </c>
      <c r="D8" s="1" t="n">
        <f aca="false">'Askar iqtisodi'!G26</f>
        <v>1</v>
      </c>
      <c r="E8" s="1" t="n">
        <f aca="false">ROUND(C8*(Rollar!$E$7*cp_w_power+Rollar!$F$7*cp_w_speed+Rollar!$G$7*cp_w_hp)*tier_coef^(D8-1)*(1+alpha_bonus*A8),0)</f>
        <v>0</v>
      </c>
      <c r="F8" s="1" t="n">
        <f aca="false">IF(AND(A8&gt;shield_newbie_level,A8-1&gt;shield_newbie_level),E7,0)</f>
        <v>0</v>
      </c>
      <c r="G8" s="1" t="n">
        <f aca="false">IF(F8=0,0,ROUND(E8/F8,2))</f>
        <v>0</v>
      </c>
      <c r="H8" s="1" t="str">
        <f aca="false">IF(F8=0,"🛡 Qalqon / oyna tashqarisida",IF(G8&lt;=scout_partial,"❌ Muvaffaqiyatsiz — hech narsa koʻrinmaydi",IF(G8&lt;=scout_full,"◐ Qisman — faqat toʻda hajmi",IF(G8&lt;=scout_exact,"✔ Toʻliq — askar soni va oʻlja","★ Aniq — barcha raqamlar"))))</f>
        <v>🛡 Qalqon / oyna tashqarisida</v>
      </c>
      <c r="I8" s="1" t="n">
        <f aca="false">IF(A8&gt;shield_newbie_level,E8,0)</f>
        <v>0</v>
      </c>
      <c r="J8" s="1" t="n">
        <f aca="false">IF(I8=0,0,ROUND(E8/I8,2))</f>
        <v>0</v>
      </c>
      <c r="K8" s="1" t="str">
        <f aca="false">IF(I8=0,"🛡 Qalqon / oyna tashqarisida",IF(J8&lt;=scout_partial,"❌ Muvaffaqiyatsiz — hech narsa koʻrinmaydi",IF(J8&lt;=scout_full,"◐ Qisman — faqat toʻda hajmi",IF(J8&lt;=scout_exact,"✔ Toʻliq — askar soni va oʻlja","★ Aniq — barcha raqamlar"))))</f>
        <v>🛡 Qalqon / oyna tashqarisida</v>
      </c>
      <c r="L8" s="1" t="n">
        <f aca="false">IF(A8&gt;shield_newbie_level,E9,0)</f>
        <v>0</v>
      </c>
      <c r="M8" s="1" t="n">
        <f aca="false">IF(L8=0,0,ROUND(E8/L8,2))</f>
        <v>0</v>
      </c>
      <c r="N8" s="1" t="str">
        <f aca="false">IF(L8=0,"🛡 Qalqon / oyna tashqarisida",IF(M8&lt;=scout_partial,"❌ Muvaffaqiyatsiz — hech narsa koʻrinmaydi",IF(M8&lt;=scout_full,"◐ Qisman — faqat toʻda hajmi",IF(M8&lt;=scout_exact,"✔ Toʻliq — askar soni va oʻlja","★ Aniq — barcha raqamlar"))))</f>
        <v>🛡 Qalqon / oyna tashqarisida</v>
      </c>
    </row>
    <row r="9" customFormat="false" ht="15" hidden="false" customHeight="false" outlineLevel="0" collapsed="false">
      <c r="A9" s="1" t="n">
        <v>4</v>
      </c>
      <c r="B9" s="1" t="str">
        <f aca="false">Darajalar!B9</f>
        <v>Hind boʻrisi</v>
      </c>
      <c r="C9" s="1" t="n">
        <f aca="false">'Askar iqtisodi'!C27</f>
        <v>2</v>
      </c>
      <c r="D9" s="1" t="n">
        <f aca="false">'Askar iqtisodi'!G27</f>
        <v>1</v>
      </c>
      <c r="E9" s="1" t="n">
        <f aca="false">ROUND(C9*(Rollar!$E$7*cp_w_power+Rollar!$F$7*cp_w_speed+Rollar!$G$7*cp_w_hp)*tier_coef^(D9-1)*(1+alpha_bonus*A9),0)</f>
        <v>143</v>
      </c>
      <c r="F9" s="1" t="n">
        <f aca="false">IF(AND(A9&gt;shield_newbie_level,A9-1&gt;shield_newbie_level),E8,0)</f>
        <v>0</v>
      </c>
      <c r="G9" s="1" t="n">
        <f aca="false">IF(F9=0,0,ROUND(E9/F9,2))</f>
        <v>0</v>
      </c>
      <c r="H9" s="1" t="str">
        <f aca="false">IF(F9=0,"🛡 Qalqon / oyna tashqarisida",IF(G9&lt;=scout_partial,"❌ Muvaffaqiyatsiz — hech narsa koʻrinmaydi",IF(G9&lt;=scout_full,"◐ Qisman — faqat toʻda hajmi",IF(G9&lt;=scout_exact,"✔ Toʻliq — askar soni va oʻlja","★ Aniq — barcha raqamlar"))))</f>
        <v>🛡 Qalqon / oyna tashqarisida</v>
      </c>
      <c r="I9" s="1" t="n">
        <f aca="false">IF(A9&gt;shield_newbie_level,E9,0)</f>
        <v>0</v>
      </c>
      <c r="J9" s="1" t="n">
        <f aca="false">IF(I9=0,0,ROUND(E9/I9,2))</f>
        <v>0</v>
      </c>
      <c r="K9" s="1" t="str">
        <f aca="false">IF(I9=0,"🛡 Qalqon / oyna tashqarisida",IF(J9&lt;=scout_partial,"❌ Muvaffaqiyatsiz — hech narsa koʻrinmaydi",IF(J9&lt;=scout_full,"◐ Qisman — faqat toʻda hajmi",IF(J9&lt;=scout_exact,"✔ Toʻliq — askar soni va oʻlja","★ Aniq — barcha raqamlar"))))</f>
        <v>🛡 Qalqon / oyna tashqarisida</v>
      </c>
      <c r="L9" s="1" t="n">
        <f aca="false">IF(A9&gt;shield_newbie_level,E10,0)</f>
        <v>0</v>
      </c>
      <c r="M9" s="1" t="n">
        <f aca="false">IF(L9=0,0,ROUND(E9/L9,2))</f>
        <v>0</v>
      </c>
      <c r="N9" s="1" t="str">
        <f aca="false">IF(L9=0,"🛡 Qalqon / oyna tashqarisida",IF(M9&lt;=scout_partial,"❌ Muvaffaqiyatsiz — hech narsa koʻrinmaydi",IF(M9&lt;=scout_full,"◐ Qisman — faqat toʻda hajmi",IF(M9&lt;=scout_exact,"✔ Toʻliq — askar soni va oʻlja","★ Aniq — barcha raqamlar"))))</f>
        <v>🛡 Qalqon / oyna tashqarisida</v>
      </c>
    </row>
    <row r="10" customFormat="false" ht="15" hidden="false" customHeight="false" outlineLevel="0" collapsed="false">
      <c r="A10" s="1" t="n">
        <v>5</v>
      </c>
      <c r="B10" s="1" t="str">
        <f aca="false">Darajalar!B10</f>
        <v>Qizil boʻri</v>
      </c>
      <c r="C10" s="1" t="n">
        <f aca="false">'Askar iqtisodi'!C28</f>
        <v>2</v>
      </c>
      <c r="D10" s="1" t="n">
        <f aca="false">'Askar iqtisodi'!G28</f>
        <v>1</v>
      </c>
      <c r="E10" s="1" t="n">
        <f aca="false">ROUND(C10*(Rollar!$E$7*cp_w_power+Rollar!$F$7*cp_w_speed+Rollar!$G$7*cp_w_hp)*tier_coef^(D10-1)*(1+alpha_bonus*A10),0)</f>
        <v>147</v>
      </c>
      <c r="F10" s="1" t="n">
        <f aca="false">IF(AND(A10&gt;shield_newbie_level,A10-1&gt;shield_newbie_level),E9,0)</f>
        <v>0</v>
      </c>
      <c r="G10" s="1" t="n">
        <f aca="false">IF(F10=0,0,ROUND(E10/F10,2))</f>
        <v>0</v>
      </c>
      <c r="H10" s="1" t="str">
        <f aca="false">IF(F10=0,"🛡 Qalqon / oyna tashqarisida",IF(G10&lt;=scout_partial,"❌ Muvaffaqiyatsiz — hech narsa koʻrinmaydi",IF(G10&lt;=scout_full,"◐ Qisman — faqat toʻda hajmi",IF(G10&lt;=scout_exact,"✔ Toʻliq — askar soni va oʻlja","★ Aniq — barcha raqamlar"))))</f>
        <v>🛡 Qalqon / oyna tashqarisida</v>
      </c>
      <c r="I10" s="1" t="n">
        <f aca="false">IF(A10&gt;shield_newbie_level,E10,0)</f>
        <v>0</v>
      </c>
      <c r="J10" s="1" t="n">
        <f aca="false">IF(I10=0,0,ROUND(E10/I10,2))</f>
        <v>0</v>
      </c>
      <c r="K10" s="1" t="str">
        <f aca="false">IF(I10=0,"🛡 Qalqon / oyna tashqarisida",IF(J10&lt;=scout_partial,"❌ Muvaffaqiyatsiz — hech narsa koʻrinmaydi",IF(J10&lt;=scout_full,"◐ Qisman — faqat toʻda hajmi",IF(J10&lt;=scout_exact,"✔ Toʻliq — askar soni va oʻlja","★ Aniq — barcha raqamlar"))))</f>
        <v>🛡 Qalqon / oyna tashqarisida</v>
      </c>
      <c r="L10" s="1" t="n">
        <f aca="false">IF(A10&gt;shield_newbie_level,E11,0)</f>
        <v>0</v>
      </c>
      <c r="M10" s="1" t="n">
        <f aca="false">IF(L10=0,0,ROUND(E10/L10,2))</f>
        <v>0</v>
      </c>
      <c r="N10" s="1" t="str">
        <f aca="false">IF(L10=0,"🛡 Qalqon / oyna tashqarisida",IF(M10&lt;=scout_partial,"❌ Muvaffaqiyatsiz — hech narsa koʻrinmaydi",IF(M10&lt;=scout_full,"◐ Qisman — faqat toʻda hajmi",IF(M10&lt;=scout_exact,"✔ Toʻliq — askar soni va oʻlja","★ Aniq — barcha raqamlar"))))</f>
        <v>🛡 Qalqon / oyna tashqarisida</v>
      </c>
    </row>
    <row r="11" customFormat="false" ht="15" hidden="false" customHeight="false" outlineLevel="0" collapsed="false">
      <c r="A11" s="1" t="n">
        <v>6</v>
      </c>
      <c r="B11" s="1" t="str">
        <f aca="false">Darajalar!B11</f>
        <v>Italyan boʻrisi</v>
      </c>
      <c r="C11" s="1" t="n">
        <f aca="false">'Askar iqtisodi'!C29</f>
        <v>3</v>
      </c>
      <c r="D11" s="1" t="n">
        <f aca="false">'Askar iqtisodi'!G29</f>
        <v>1</v>
      </c>
      <c r="E11" s="1" t="n">
        <f aca="false">ROUND(C11*(Rollar!$E$7*cp_w_power+Rollar!$F$7*cp_w_speed+Rollar!$G$7*cp_w_hp)*tier_coef^(D11-1)*(1+alpha_bonus*A11),0)</f>
        <v>227</v>
      </c>
      <c r="F11" s="1" t="n">
        <f aca="false">IF(AND(A11&gt;shield_newbie_level,A11-1&gt;shield_newbie_level),E10,0)</f>
        <v>0</v>
      </c>
      <c r="G11" s="1" t="n">
        <f aca="false">IF(F11=0,0,ROUND(E11/F11,2))</f>
        <v>0</v>
      </c>
      <c r="H11" s="1" t="str">
        <f aca="false">IF(F11=0,"🛡 Qalqon / oyna tashqarisida",IF(G11&lt;=scout_partial,"❌ Muvaffaqiyatsiz — hech narsa koʻrinmaydi",IF(G11&lt;=scout_full,"◐ Qisman — faqat toʻda hajmi",IF(G11&lt;=scout_exact,"✔ Toʻliq — askar soni va oʻlja","★ Aniq — barcha raqamlar"))))</f>
        <v>🛡 Qalqon / oyna tashqarisida</v>
      </c>
      <c r="I11" s="1" t="n">
        <f aca="false">IF(A11&gt;shield_newbie_level,E11,0)</f>
        <v>0</v>
      </c>
      <c r="J11" s="1" t="n">
        <f aca="false">IF(I11=0,0,ROUND(E11/I11,2))</f>
        <v>0</v>
      </c>
      <c r="K11" s="1" t="str">
        <f aca="false">IF(I11=0,"🛡 Qalqon / oyna tashqarisida",IF(J11&lt;=scout_partial,"❌ Muvaffaqiyatsiz — hech narsa koʻrinmaydi",IF(J11&lt;=scout_full,"◐ Qisman — faqat toʻda hajmi",IF(J11&lt;=scout_exact,"✔ Toʻliq — askar soni va oʻlja","★ Aniq — barcha raqamlar"))))</f>
        <v>🛡 Qalqon / oyna tashqarisida</v>
      </c>
      <c r="L11" s="1" t="n">
        <f aca="false">IF(A11&gt;shield_newbie_level,E12,0)</f>
        <v>0</v>
      </c>
      <c r="M11" s="1" t="n">
        <f aca="false">IF(L11=0,0,ROUND(E11/L11,2))</f>
        <v>0</v>
      </c>
      <c r="N11" s="1" t="str">
        <f aca="false">IF(L11=0,"🛡 Qalqon / oyna tashqarisida",IF(M11&lt;=scout_partial,"❌ Muvaffaqiyatsiz — hech narsa koʻrinmaydi",IF(M11&lt;=scout_full,"◐ Qisman — faqat toʻda hajmi",IF(M11&lt;=scout_exact,"✔ Toʻliq — askar soni va oʻlja","★ Aniq — barcha raqamlar"))))</f>
        <v>🛡 Qalqon / oyna tashqarisida</v>
      </c>
    </row>
    <row r="12" customFormat="false" ht="15" hidden="false" customHeight="false" outlineLevel="0" collapsed="false">
      <c r="A12" s="1" t="n">
        <v>7</v>
      </c>
      <c r="B12" s="1" t="str">
        <f aca="false">Darajalar!B12</f>
        <v>Meksika boʻrisi</v>
      </c>
      <c r="C12" s="1" t="n">
        <f aca="false">'Askar iqtisodi'!C30</f>
        <v>3</v>
      </c>
      <c r="D12" s="1" t="n">
        <f aca="false">'Askar iqtisodi'!G30</f>
        <v>1</v>
      </c>
      <c r="E12" s="1" t="n">
        <f aca="false">ROUND(C12*(Rollar!$E$7*cp_w_power+Rollar!$F$7*cp_w_speed+Rollar!$G$7*cp_w_hp)*tier_coef^(D12-1)*(1+alpha_bonus*A12),0)</f>
        <v>232</v>
      </c>
      <c r="F12" s="1" t="n">
        <f aca="false">IF(AND(A12&gt;shield_newbie_level,A12-1&gt;shield_newbie_level),E11,0)</f>
        <v>0</v>
      </c>
      <c r="G12" s="1" t="n">
        <f aca="false">IF(F12=0,0,ROUND(E12/F12,2))</f>
        <v>0</v>
      </c>
      <c r="H12" s="1" t="str">
        <f aca="false">IF(F12=0,"🛡 Qalqon / oyna tashqarisida",IF(G12&lt;=scout_partial,"❌ Muvaffaqiyatsiz — hech narsa koʻrinmaydi",IF(G12&lt;=scout_full,"◐ Qisman — faqat toʻda hajmi",IF(G12&lt;=scout_exact,"✔ Toʻliq — askar soni va oʻlja","★ Aniq — barcha raqamlar"))))</f>
        <v>🛡 Qalqon / oyna tashqarisida</v>
      </c>
      <c r="I12" s="1" t="n">
        <f aca="false">IF(A12&gt;shield_newbie_level,E12,0)</f>
        <v>232</v>
      </c>
      <c r="J12" s="1" t="n">
        <f aca="false">IF(I12=0,0,ROUND(E12/I12,2))</f>
        <v>1</v>
      </c>
      <c r="K12" s="1" t="str">
        <f aca="false">IF(I12=0,"🛡 Qalqon / oyna tashqarisida",IF(J12&lt;=scout_partial,"❌ Muvaffaqiyatsiz — hech narsa koʻrinmaydi",IF(J12&lt;=scout_full,"◐ Qisman — faqat toʻda hajmi",IF(J12&lt;=scout_exact,"✔ Toʻliq — askar soni va oʻlja","★ Aniq — barcha raqamlar"))))</f>
        <v>❌ Muvaffaqiyatsiz — hech narsa koʻrinmaydi</v>
      </c>
      <c r="L12" s="1" t="n">
        <f aca="false">IF(A12&gt;shield_newbie_level,E13,0)</f>
        <v>460</v>
      </c>
      <c r="M12" s="1" t="n">
        <f aca="false">IF(L12=0,0,ROUND(E12/L12,2))</f>
        <v>0.5</v>
      </c>
      <c r="N12" s="1" t="str">
        <f aca="false">IF(L12=0,"🛡 Qalqon / oyna tashqarisida",IF(M12&lt;=scout_partial,"❌ Muvaffaqiyatsiz — hech narsa koʻrinmaydi",IF(M12&lt;=scout_full,"◐ Qisman — faqat toʻda hajmi",IF(M12&lt;=scout_exact,"✔ Toʻliq — askar soni va oʻlja","★ Aniq — barcha raqamlar"))))</f>
        <v>❌ Muvaffaqiyatsiz — hech narsa koʻrinmaydi</v>
      </c>
    </row>
    <row r="13" customFormat="false" ht="15" hidden="false" customHeight="false" outlineLevel="0" collapsed="false">
      <c r="A13" s="1" t="n">
        <v>8</v>
      </c>
      <c r="B13" s="1" t="str">
        <f aca="false">Darajalar!B13</f>
        <v>Sharqiy boʻri</v>
      </c>
      <c r="C13" s="1" t="n">
        <f aca="false">'Askar iqtisodi'!C31</f>
        <v>4</v>
      </c>
      <c r="D13" s="1" t="n">
        <f aca="false">'Askar iqtisodi'!G31</f>
        <v>2</v>
      </c>
      <c r="E13" s="1" t="n">
        <f aca="false">ROUND(C13*(Rollar!$E$7*cp_w_power+Rollar!$F$7*cp_w_speed+Rollar!$G$7*cp_w_hp)*tier_coef^(D13-1)*(1+alpha_bonus*A13),0)</f>
        <v>460</v>
      </c>
      <c r="F13" s="1" t="n">
        <f aca="false">IF(AND(A13&gt;shield_newbie_level,A13-1&gt;shield_newbie_level),E12,0)</f>
        <v>232</v>
      </c>
      <c r="G13" s="1" t="n">
        <f aca="false">IF(F13=0,0,ROUND(E13/F13,2))</f>
        <v>1.98</v>
      </c>
      <c r="H13" s="1" t="str">
        <f aca="false">IF(F13=0,"🛡 Qalqon / oyna tashqarisida",IF(G13&lt;=scout_partial,"❌ Muvaffaqiyatsiz — hech narsa koʻrinmaydi",IF(G13&lt;=scout_full,"◐ Qisman — faqat toʻda hajmi",IF(G13&lt;=scout_exact,"✔ Toʻliq — askar soni va oʻlja","★ Aniq — barcha raqamlar"))))</f>
        <v>✔ Toʻliq — askar soni va oʻlja</v>
      </c>
      <c r="I13" s="1" t="n">
        <f aca="false">IF(A13&gt;shield_newbie_level,E13,0)</f>
        <v>460</v>
      </c>
      <c r="J13" s="1" t="n">
        <f aca="false">IF(I13=0,0,ROUND(E13/I13,2))</f>
        <v>1</v>
      </c>
      <c r="K13" s="1" t="str">
        <f aca="false">IF(I13=0,"🛡 Qalqon / oyna tashqarisida",IF(J13&lt;=scout_partial,"❌ Muvaffaqiyatsiz — hech narsa koʻrinmaydi",IF(J13&lt;=scout_full,"◐ Qisman — faqat toʻda hajmi",IF(J13&lt;=scout_exact,"✔ Toʻliq — askar soni va oʻlja","★ Aniq — barcha raqamlar"))))</f>
        <v>❌ Muvaffaqiyatsiz — hech narsa koʻrinmaydi</v>
      </c>
      <c r="L13" s="1" t="n">
        <f aca="false">IF(A13&gt;shield_newbie_level,E14,0)</f>
        <v>589</v>
      </c>
      <c r="M13" s="1" t="n">
        <f aca="false">IF(L13=0,0,ROUND(E13/L13,2))</f>
        <v>0.78</v>
      </c>
      <c r="N13" s="1" t="str">
        <f aca="false">IF(L13=0,"🛡 Qalqon / oyna tashqarisida",IF(M13&lt;=scout_partial,"❌ Muvaffaqiyatsiz — hech narsa koʻrinmaydi",IF(M13&lt;=scout_full,"◐ Qisman — faqat toʻda hajmi",IF(M13&lt;=scout_exact,"✔ Toʻliq — askar soni va oʻlja","★ Aniq — barcha raqamlar"))))</f>
        <v>❌ Muvaffaqiyatsiz — hech narsa koʻrinmaydi</v>
      </c>
    </row>
    <row r="14" customFormat="false" ht="15" hidden="false" customHeight="false" outlineLevel="0" collapsed="false">
      <c r="A14" s="1" t="n">
        <v>9</v>
      </c>
      <c r="B14" s="1" t="str">
        <f aca="false">Darajalar!B14</f>
        <v>Iberiya boʻrisi</v>
      </c>
      <c r="C14" s="1" t="n">
        <f aca="false">'Askar iqtisodi'!C32</f>
        <v>5</v>
      </c>
      <c r="D14" s="1" t="n">
        <f aca="false">'Askar iqtisodi'!G32</f>
        <v>2</v>
      </c>
      <c r="E14" s="1" t="n">
        <f aca="false">ROUND(C14*(Rollar!$E$7*cp_w_power+Rollar!$F$7*cp_w_speed+Rollar!$G$7*cp_w_hp)*tier_coef^(D14-1)*(1+alpha_bonus*A14),0)</f>
        <v>589</v>
      </c>
      <c r="F14" s="1" t="n">
        <f aca="false">IF(AND(A14&gt;shield_newbie_level,A14-1&gt;shield_newbie_level),E13,0)</f>
        <v>460</v>
      </c>
      <c r="G14" s="1" t="n">
        <f aca="false">IF(F14=0,0,ROUND(E14/F14,2))</f>
        <v>1.28</v>
      </c>
      <c r="H14" s="1" t="str">
        <f aca="false">IF(F14=0,"🛡 Qalqon / oyna tashqarisida",IF(G14&lt;=scout_partial,"❌ Muvaffaqiyatsiz — hech narsa koʻrinmaydi",IF(G14&lt;=scout_full,"◐ Qisman — faqat toʻda hajmi",IF(G14&lt;=scout_exact,"✔ Toʻliq — askar soni va oʻlja","★ Aniq — barcha raqamlar"))))</f>
        <v>◐ Qisman — faqat toʻda hajmi</v>
      </c>
      <c r="I14" s="1" t="n">
        <f aca="false">IF(A14&gt;shield_newbie_level,E14,0)</f>
        <v>589</v>
      </c>
      <c r="J14" s="1" t="n">
        <f aca="false">IF(I14=0,0,ROUND(E14/I14,2))</f>
        <v>1</v>
      </c>
      <c r="K14" s="1" t="str">
        <f aca="false">IF(I14=0,"🛡 Qalqon / oyna tashqarisida",IF(J14&lt;=scout_partial,"❌ Muvaffaqiyatsiz — hech narsa koʻrinmaydi",IF(J14&lt;=scout_full,"◐ Qisman — faqat toʻda hajmi",IF(J14&lt;=scout_exact,"✔ Toʻliq — askar soni va oʻlja","★ Aniq — barcha raqamlar"))))</f>
        <v>❌ Muvaffaqiyatsiz — hech narsa koʻrinmaydi</v>
      </c>
      <c r="L14" s="1" t="n">
        <f aca="false">IF(A14&gt;shield_newbie_level,E15,0)</f>
        <v>724</v>
      </c>
      <c r="M14" s="1" t="n">
        <f aca="false">IF(L14=0,0,ROUND(E14/L14,2))</f>
        <v>0.81</v>
      </c>
      <c r="N14" s="1" t="str">
        <f aca="false">IF(L14=0,"🛡 Qalqon / oyna tashqarisida",IF(M14&lt;=scout_partial,"❌ Muvaffaqiyatsiz — hech narsa koʻrinmaydi",IF(M14&lt;=scout_full,"◐ Qisman — faqat toʻda hajmi",IF(M14&lt;=scout_exact,"✔ Toʻliq — askar soni va oʻlja","★ Aniq — barcha raqamlar"))))</f>
        <v>❌ Muvaffaqiyatsiz — hech narsa koʻrinmaydi</v>
      </c>
    </row>
    <row r="15" customFormat="false" ht="15" hidden="false" customHeight="false" outlineLevel="0" collapsed="false">
      <c r="A15" s="1" t="n">
        <v>10</v>
      </c>
      <c r="B15" s="1" t="str">
        <f aca="false">Darajalar!B15</f>
        <v>Dasht boʻrisi</v>
      </c>
      <c r="C15" s="1" t="n">
        <f aca="false">'Askar iqtisodi'!C33</f>
        <v>6</v>
      </c>
      <c r="D15" s="1" t="n">
        <f aca="false">'Askar iqtisodi'!G33</f>
        <v>2</v>
      </c>
      <c r="E15" s="1" t="n">
        <f aca="false">ROUND(C15*(Rollar!$E$7*cp_w_power+Rollar!$F$7*cp_w_speed+Rollar!$G$7*cp_w_hp)*tier_coef^(D15-1)*(1+alpha_bonus*A15),0)</f>
        <v>724</v>
      </c>
      <c r="F15" s="1" t="n">
        <f aca="false">IF(AND(A15&gt;shield_newbie_level,A15-1&gt;shield_newbie_level),E14,0)</f>
        <v>589</v>
      </c>
      <c r="G15" s="1" t="n">
        <f aca="false">IF(F15=0,0,ROUND(E15/F15,2))</f>
        <v>1.23</v>
      </c>
      <c r="H15" s="1" t="str">
        <f aca="false">IF(F15=0,"🛡 Qalqon / oyna tashqarisida",IF(G15&lt;=scout_partial,"❌ Muvaffaqiyatsiz — hech narsa koʻrinmaydi",IF(G15&lt;=scout_full,"◐ Qisman — faqat toʻda hajmi",IF(G15&lt;=scout_exact,"✔ Toʻliq — askar soni va oʻlja","★ Aniq — barcha raqamlar"))))</f>
        <v>◐ Qisman — faqat toʻda hajmi</v>
      </c>
      <c r="I15" s="1" t="n">
        <f aca="false">IF(A15&gt;shield_newbie_level,E15,0)</f>
        <v>724</v>
      </c>
      <c r="J15" s="1" t="n">
        <f aca="false">IF(I15=0,0,ROUND(E15/I15,2))</f>
        <v>1</v>
      </c>
      <c r="K15" s="1" t="str">
        <f aca="false">IF(I15=0,"🛡 Qalqon / oyna tashqarisida",IF(J15&lt;=scout_partial,"❌ Muvaffaqiyatsiz — hech narsa koʻrinmaydi",IF(J15&lt;=scout_full,"◐ Qisman — faqat toʻda hajmi",IF(J15&lt;=scout_exact,"✔ Toʻliq — askar soni va oʻlja","★ Aniq — barcha raqamlar"))))</f>
        <v>❌ Muvaffaqiyatsiz — hech narsa koʻrinmaydi</v>
      </c>
      <c r="L15" s="1" t="n">
        <f aca="false">IF(A15&gt;shield_newbie_level,E16,0)</f>
        <v>864</v>
      </c>
      <c r="M15" s="1" t="n">
        <f aca="false">IF(L15=0,0,ROUND(E15/L15,2))</f>
        <v>0.84</v>
      </c>
      <c r="N15" s="1" t="str">
        <f aca="false">IF(L15=0,"🛡 Qalqon / oyna tashqarisida",IF(M15&lt;=scout_partial,"❌ Muvaffaqiyatsiz — hech narsa koʻrinmaydi",IF(M15&lt;=scout_full,"◐ Qisman — faqat toʻda hajmi",IF(M15&lt;=scout_exact,"✔ Toʻliq — askar soni va oʻlja","★ Aniq — barcha raqamlar"))))</f>
        <v>❌ Muvaffaqiyatsiz — hech narsa koʻrinmaydi</v>
      </c>
    </row>
    <row r="16" customFormat="false" ht="15" hidden="false" customHeight="false" outlineLevel="0" collapsed="false">
      <c r="A16" s="1" t="n">
        <v>11</v>
      </c>
      <c r="B16" s="1" t="str">
        <f aca="false">Darajalar!B16</f>
        <v>Himolay boʻrisi</v>
      </c>
      <c r="C16" s="1" t="n">
        <f aca="false">'Askar iqtisodi'!C34</f>
        <v>7</v>
      </c>
      <c r="D16" s="1" t="n">
        <f aca="false">'Askar iqtisodi'!G34</f>
        <v>2</v>
      </c>
      <c r="E16" s="1" t="n">
        <f aca="false">ROUND(C16*(Rollar!$E$7*cp_w_power+Rollar!$F$7*cp_w_speed+Rollar!$G$7*cp_w_hp)*tier_coef^(D16-1)*(1+alpha_bonus*A16),0)</f>
        <v>864</v>
      </c>
      <c r="F16" s="1" t="n">
        <f aca="false">IF(AND(A16&gt;shield_newbie_level,A16-1&gt;shield_newbie_level),E15,0)</f>
        <v>724</v>
      </c>
      <c r="G16" s="1" t="n">
        <f aca="false">IF(F16=0,0,ROUND(E16/F16,2))</f>
        <v>1.19</v>
      </c>
      <c r="H16" s="1" t="str">
        <f aca="false">IF(F16=0,"🛡 Qalqon / oyna tashqarisida",IF(G16&lt;=scout_partial,"❌ Muvaffaqiyatsiz — hech narsa koʻrinmaydi",IF(G16&lt;=scout_full,"◐ Qisman — faqat toʻda hajmi",IF(G16&lt;=scout_exact,"✔ Toʻliq — askar soni va oʻlja","★ Aniq — barcha raqamlar"))))</f>
        <v>◐ Qisman — faqat toʻda hajmi</v>
      </c>
      <c r="I16" s="1" t="n">
        <f aca="false">IF(A16&gt;shield_newbie_level,E16,0)</f>
        <v>864</v>
      </c>
      <c r="J16" s="1" t="n">
        <f aca="false">IF(I16=0,0,ROUND(E16/I16,2))</f>
        <v>1</v>
      </c>
      <c r="K16" s="1" t="str">
        <f aca="false">IF(I16=0,"🛡 Qalqon / oyna tashqarisida",IF(J16&lt;=scout_partial,"❌ Muvaffaqiyatsiz — hech narsa koʻrinmaydi",IF(J16&lt;=scout_full,"◐ Qisman — faqat toʻda hajmi",IF(J16&lt;=scout_exact,"✔ Toʻliq — askar soni va oʻlja","★ Aniq — barcha raqamlar"))))</f>
        <v>❌ Muvaffaqiyatsiz — hech narsa koʻrinmaydi</v>
      </c>
      <c r="L16" s="1" t="n">
        <f aca="false">IF(A16&gt;shield_newbie_level,E17,0)</f>
        <v>1647</v>
      </c>
      <c r="M16" s="1" t="n">
        <f aca="false">IF(L16=0,0,ROUND(E16/L16,2))</f>
        <v>0.52</v>
      </c>
      <c r="N16" s="1" t="str">
        <f aca="false">IF(L16=0,"🛡 Qalqon / oyna tashqarisida",IF(M16&lt;=scout_partial,"❌ Muvaffaqiyatsiz — hech narsa koʻrinmaydi",IF(M16&lt;=scout_full,"◐ Qisman — faqat toʻda hajmi",IF(M16&lt;=scout_exact,"✔ Toʻliq — askar soni va oʻlja","★ Aniq — barcha raqamlar"))))</f>
        <v>❌ Muvaffaqiyatsiz — hech narsa koʻrinmaydi</v>
      </c>
    </row>
    <row r="17" customFormat="false" ht="15" hidden="false" customHeight="false" outlineLevel="0" collapsed="false">
      <c r="A17" s="1" t="n">
        <v>12</v>
      </c>
      <c r="B17" s="1" t="str">
        <f aca="false">Darajalar!B17</f>
        <v>Ezo boʻrisi</v>
      </c>
      <c r="C17" s="1" t="n">
        <f aca="false">'Askar iqtisodi'!C35</f>
        <v>9</v>
      </c>
      <c r="D17" s="1" t="n">
        <f aca="false">'Askar iqtisodi'!G35</f>
        <v>3</v>
      </c>
      <c r="E17" s="1" t="n">
        <f aca="false">ROUND(C17*(Rollar!$E$7*cp_w_power+Rollar!$F$7*cp_w_speed+Rollar!$G$7*cp_w_hp)*tier_coef^(D17-1)*(1+alpha_bonus*A17),0)</f>
        <v>1647</v>
      </c>
      <c r="F17" s="1" t="n">
        <f aca="false">IF(AND(A17&gt;shield_newbie_level,A17-1&gt;shield_newbie_level),E16,0)</f>
        <v>864</v>
      </c>
      <c r="G17" s="1" t="n">
        <f aca="false">IF(F17=0,0,ROUND(E17/F17,2))</f>
        <v>1.91</v>
      </c>
      <c r="H17" s="1" t="str">
        <f aca="false">IF(F17=0,"🛡 Qalqon / oyna tashqarisida",IF(G17&lt;=scout_partial,"❌ Muvaffaqiyatsiz — hech narsa koʻrinmaydi",IF(G17&lt;=scout_full,"◐ Qisman — faqat toʻda hajmi",IF(G17&lt;=scout_exact,"✔ Toʻliq — askar soni va oʻlja","★ Aniq — barcha raqamlar"))))</f>
        <v>✔ Toʻliq — askar soni va oʻlja</v>
      </c>
      <c r="I17" s="1" t="n">
        <f aca="false">IF(A17&gt;shield_newbie_level,E17,0)</f>
        <v>1647</v>
      </c>
      <c r="J17" s="1" t="n">
        <f aca="false">IF(I17=0,0,ROUND(E17/I17,2))</f>
        <v>1</v>
      </c>
      <c r="K17" s="1" t="str">
        <f aca="false">IF(I17=0,"🛡 Qalqon / oyna tashqarisida",IF(J17&lt;=scout_partial,"❌ Muvaffaqiyatsiz — hech narsa koʻrinmaydi",IF(J17&lt;=scout_full,"◐ Qisman — faqat toʻda hajmi",IF(J17&lt;=scout_exact,"✔ Toʻliq — askar soni va oʻlja","★ Aniq — barcha raqamlar"))))</f>
        <v>❌ Muvaffaqiyatsiz — hech narsa koʻrinmaydi</v>
      </c>
      <c r="L17" s="1" t="n">
        <f aca="false">IF(A17&gt;shield_newbie_level,E18,0)</f>
        <v>1870</v>
      </c>
      <c r="M17" s="1" t="n">
        <f aca="false">IF(L17=0,0,ROUND(E17/L17,2))</f>
        <v>0.88</v>
      </c>
      <c r="N17" s="1" t="str">
        <f aca="false">IF(L17=0,"🛡 Qalqon / oyna tashqarisida",IF(M17&lt;=scout_partial,"❌ Muvaffaqiyatsiz — hech narsa koʻrinmaydi",IF(M17&lt;=scout_full,"◐ Qisman — faqat toʻda hajmi",IF(M17&lt;=scout_exact,"✔ Toʻliq — askar soni va oʻlja","★ Aniq — barcha raqamlar"))))</f>
        <v>❌ Muvaffaqiyatsiz — hech narsa koʻrinmaydi</v>
      </c>
    </row>
    <row r="18" customFormat="false" ht="15" hidden="false" customHeight="false" outlineLevel="0" collapsed="false">
      <c r="A18" s="1" t="n">
        <v>13</v>
      </c>
      <c r="B18" s="1" t="str">
        <f aca="false">Darajalar!B18</f>
        <v>Tibet boʻrisi</v>
      </c>
      <c r="C18" s="1" t="n">
        <f aca="false">'Askar iqtisodi'!C36</f>
        <v>10</v>
      </c>
      <c r="D18" s="1" t="n">
        <f aca="false">'Askar iqtisodi'!G36</f>
        <v>3</v>
      </c>
      <c r="E18" s="1" t="n">
        <f aca="false">ROUND(C18*(Rollar!$E$7*cp_w_power+Rollar!$F$7*cp_w_speed+Rollar!$G$7*cp_w_hp)*tier_coef^(D18-1)*(1+alpha_bonus*A18),0)</f>
        <v>1870</v>
      </c>
      <c r="F18" s="1" t="n">
        <f aca="false">IF(AND(A18&gt;shield_newbie_level,A18-1&gt;shield_newbie_level),E17,0)</f>
        <v>1647</v>
      </c>
      <c r="G18" s="1" t="n">
        <f aca="false">IF(F18=0,0,ROUND(E18/F18,2))</f>
        <v>1.14</v>
      </c>
      <c r="H18" s="1" t="str">
        <f aca="false">IF(F18=0,"🛡 Qalqon / oyna tashqarisida",IF(G18&lt;=scout_partial,"❌ Muvaffaqiyatsiz — hech narsa koʻrinmaydi",IF(G18&lt;=scout_full,"◐ Qisman — faqat toʻda hajmi",IF(G18&lt;=scout_exact,"✔ Toʻliq — askar soni va oʻlja","★ Aniq — barcha raqamlar"))))</f>
        <v>◐ Qisman — faqat toʻda hajmi</v>
      </c>
      <c r="I18" s="1" t="n">
        <f aca="false">IF(A18&gt;shield_newbie_level,E18,0)</f>
        <v>1870</v>
      </c>
      <c r="J18" s="1" t="n">
        <f aca="false">IF(I18=0,0,ROUND(E18/I18,2))</f>
        <v>1</v>
      </c>
      <c r="K18" s="1" t="str">
        <f aca="false">IF(I18=0,"🛡 Qalqon / oyna tashqarisida",IF(J18&lt;=scout_partial,"❌ Muvaffaqiyatsiz — hech narsa koʻrinmaydi",IF(J18&lt;=scout_full,"◐ Qisman — faqat toʻda hajmi",IF(J18&lt;=scout_exact,"✔ Toʻliq — askar soni va oʻlja","★ Aniq — barcha raqamlar"))))</f>
        <v>❌ Muvaffaqiyatsiz — hech narsa koʻrinmaydi</v>
      </c>
      <c r="L18" s="1" t="n">
        <f aca="false">IF(A18&gt;shield_newbie_level,E19,0)</f>
        <v>2293</v>
      </c>
      <c r="M18" s="1" t="n">
        <f aca="false">IF(L18=0,0,ROUND(E18/L18,2))</f>
        <v>0.82</v>
      </c>
      <c r="N18" s="1" t="str">
        <f aca="false">IF(L18=0,"🛡 Qalqon / oyna tashqarisida",IF(M18&lt;=scout_partial,"❌ Muvaffaqiyatsiz — hech narsa koʻrinmaydi",IF(M18&lt;=scout_full,"◐ Qisman — faqat toʻda hajmi",IF(M18&lt;=scout_exact,"✔ Toʻliq — askar soni va oʻlja","★ Aniq — barcha raqamlar"))))</f>
        <v>❌ Muvaffaqiyatsiz — hech narsa koʻrinmaydi</v>
      </c>
    </row>
    <row r="19" customFormat="false" ht="15" hidden="false" customHeight="false" outlineLevel="0" collapsed="false">
      <c r="A19" s="1" t="n">
        <v>14</v>
      </c>
      <c r="B19" s="1" t="str">
        <f aca="false">Darajalar!B19</f>
        <v>Arktika boʻrisi</v>
      </c>
      <c r="C19" s="1" t="n">
        <f aca="false">'Askar iqtisodi'!C37</f>
        <v>12</v>
      </c>
      <c r="D19" s="1" t="n">
        <f aca="false">'Askar iqtisodi'!G37</f>
        <v>3</v>
      </c>
      <c r="E19" s="1" t="n">
        <f aca="false">ROUND(C19*(Rollar!$E$7*cp_w_power+Rollar!$F$7*cp_w_speed+Rollar!$G$7*cp_w_hp)*tier_coef^(D19-1)*(1+alpha_bonus*A19),0)</f>
        <v>2293</v>
      </c>
      <c r="F19" s="1" t="n">
        <f aca="false">IF(AND(A19&gt;shield_newbie_level,A19-1&gt;shield_newbie_level),E18,0)</f>
        <v>1870</v>
      </c>
      <c r="G19" s="1" t="n">
        <f aca="false">IF(F19=0,0,ROUND(E19/F19,2))</f>
        <v>1.23</v>
      </c>
      <c r="H19" s="1" t="str">
        <f aca="false">IF(F19=0,"🛡 Qalqon / oyna tashqarisida",IF(G19&lt;=scout_partial,"❌ Muvaffaqiyatsiz — hech narsa koʻrinmaydi",IF(G19&lt;=scout_full,"◐ Qisman — faqat toʻda hajmi",IF(G19&lt;=scout_exact,"✔ Toʻliq — askar soni va oʻlja","★ Aniq — barcha raqamlar"))))</f>
        <v>◐ Qisman — faqat toʻda hajmi</v>
      </c>
      <c r="I19" s="1" t="n">
        <f aca="false">IF(A19&gt;shield_newbie_level,E19,0)</f>
        <v>2293</v>
      </c>
      <c r="J19" s="1" t="n">
        <f aca="false">IF(I19=0,0,ROUND(E19/I19,2))</f>
        <v>1</v>
      </c>
      <c r="K19" s="1" t="str">
        <f aca="false">IF(I19=0,"🛡 Qalqon / oyna tashqarisida",IF(J19&lt;=scout_partial,"❌ Muvaffaqiyatsiz — hech narsa koʻrinmaydi",IF(J19&lt;=scout_full,"◐ Qisman — faqat toʻda hajmi",IF(J19&lt;=scout_exact,"✔ Toʻliq — askar soni va oʻlja","★ Aniq — barcha raqamlar"))))</f>
        <v>❌ Muvaffaqiyatsiz — hech narsa koʻrinmaydi</v>
      </c>
      <c r="L19" s="1" t="n">
        <f aca="false">IF(A19&gt;shield_newbie_level,E20,0)</f>
        <v>2927</v>
      </c>
      <c r="M19" s="1" t="n">
        <f aca="false">IF(L19=0,0,ROUND(E19/L19,2))</f>
        <v>0.78</v>
      </c>
      <c r="N19" s="1" t="str">
        <f aca="false">IF(L19=0,"🛡 Qalqon / oyna tashqarisida",IF(M19&lt;=scout_partial,"❌ Muvaffaqiyatsiz — hech narsa koʻrinmaydi",IF(M19&lt;=scout_full,"◐ Qisman — faqat toʻda hajmi",IF(M19&lt;=scout_exact,"✔ Toʻliq — askar soni va oʻlja","★ Aniq — barcha raqamlar"))))</f>
        <v>❌ Muvaffaqiyatsiz — hech narsa koʻrinmaydi</v>
      </c>
    </row>
    <row r="20" customFormat="false" ht="15" hidden="false" customHeight="false" outlineLevel="0" collapsed="false">
      <c r="A20" s="1" t="n">
        <v>15</v>
      </c>
      <c r="B20" s="1" t="str">
        <f aca="false">Darajalar!B20</f>
        <v>Buyuk tekislik boʻrisi</v>
      </c>
      <c r="C20" s="1" t="n">
        <f aca="false">'Askar iqtisodi'!C38</f>
        <v>15</v>
      </c>
      <c r="D20" s="1" t="n">
        <f aca="false">'Askar iqtisodi'!G38</f>
        <v>3</v>
      </c>
      <c r="E20" s="1" t="n">
        <f aca="false">ROUND(C20*(Rollar!$E$7*cp_w_power+Rollar!$F$7*cp_w_speed+Rollar!$G$7*cp_w_hp)*tier_coef^(D20-1)*(1+alpha_bonus*A20),0)</f>
        <v>2927</v>
      </c>
      <c r="F20" s="1" t="n">
        <f aca="false">IF(AND(A20&gt;shield_newbie_level,A20-1&gt;shield_newbie_level),E19,0)</f>
        <v>2293</v>
      </c>
      <c r="G20" s="1" t="n">
        <f aca="false">IF(F20=0,0,ROUND(E20/F20,2))</f>
        <v>1.28</v>
      </c>
      <c r="H20" s="1" t="str">
        <f aca="false">IF(F20=0,"🛡 Qalqon / oyna tashqarisida",IF(G20&lt;=scout_partial,"❌ Muvaffaqiyatsiz — hech narsa koʻrinmaydi",IF(G20&lt;=scout_full,"◐ Qisman — faqat toʻda hajmi",IF(G20&lt;=scout_exact,"✔ Toʻliq — askar soni va oʻlja","★ Aniq — barcha raqamlar"))))</f>
        <v>◐ Qisman — faqat toʻda hajmi</v>
      </c>
      <c r="I20" s="1" t="n">
        <f aca="false">IF(A20&gt;shield_newbie_level,E20,0)</f>
        <v>2927</v>
      </c>
      <c r="J20" s="1" t="n">
        <f aca="false">IF(I20=0,0,ROUND(E20/I20,2))</f>
        <v>1</v>
      </c>
      <c r="K20" s="1" t="str">
        <f aca="false">IF(I20=0,"🛡 Qalqon / oyna tashqarisida",IF(J20&lt;=scout_partial,"❌ Muvaffaqiyatsiz — hech narsa koʻrinmaydi",IF(J20&lt;=scout_full,"◐ Qisman — faqat toʻda hajmi",IF(J20&lt;=scout_exact,"✔ Toʻliq — askar soni va oʻlja","★ Aniq — barcha raqamlar"))))</f>
        <v>❌ Muvaffaqiyatsiz — hech narsa koʻrinmaydi</v>
      </c>
      <c r="L20" s="1" t="n">
        <f aca="false">IF(A20&gt;shield_newbie_level,E21,0)</f>
        <v>5198</v>
      </c>
      <c r="M20" s="1" t="n">
        <f aca="false">IF(L20=0,0,ROUND(E20/L20,2))</f>
        <v>0.56</v>
      </c>
      <c r="N20" s="1" t="str">
        <f aca="false">IF(L20=0,"🛡 Qalqon / oyna tashqarisida",IF(M20&lt;=scout_partial,"❌ Muvaffaqiyatsiz — hech narsa koʻrinmaydi",IF(M20&lt;=scout_full,"◐ Qisman — faqat toʻda hajmi",IF(M20&lt;=scout_exact,"✔ Toʻliq — askar soni va oʻlja","★ Aniq — barcha raqamlar"))))</f>
        <v>❌ Muvaffaqiyatsiz — hech narsa koʻrinmaydi</v>
      </c>
    </row>
    <row r="21" customFormat="false" ht="15" hidden="false" customHeight="false" outlineLevel="0" collapsed="false">
      <c r="A21" s="1" t="n">
        <v>16</v>
      </c>
      <c r="B21" s="1" t="str">
        <f aca="false">Darajalar!B21</f>
        <v>Yevroosiyo kulrang boʻrisi</v>
      </c>
      <c r="C21" s="1" t="n">
        <f aca="false">'Askar iqtisodi'!C39</f>
        <v>18</v>
      </c>
      <c r="D21" s="1" t="n">
        <f aca="false">'Askar iqtisodi'!G39</f>
        <v>4</v>
      </c>
      <c r="E21" s="1" t="n">
        <f aca="false">ROUND(C21*(Rollar!$E$7*cp_w_power+Rollar!$F$7*cp_w_speed+Rollar!$G$7*cp_w_hp)*tier_coef^(D21-1)*(1+alpha_bonus*A21),0)</f>
        <v>5198</v>
      </c>
      <c r="F21" s="1" t="n">
        <f aca="false">IF(AND(A21&gt;shield_newbie_level,A21-1&gt;shield_newbie_level),E20,0)</f>
        <v>2927</v>
      </c>
      <c r="G21" s="1" t="n">
        <f aca="false">IF(F21=0,0,ROUND(E21/F21,2))</f>
        <v>1.78</v>
      </c>
      <c r="H21" s="1" t="str">
        <f aca="false">IF(F21=0,"🛡 Qalqon / oyna tashqarisida",IF(G21&lt;=scout_partial,"❌ Muvaffaqiyatsiz — hech narsa koʻrinmaydi",IF(G21&lt;=scout_full,"◐ Qisman — faqat toʻda hajmi",IF(G21&lt;=scout_exact,"✔ Toʻliq — askar soni va oʻlja","★ Aniq — barcha raqamlar"))))</f>
        <v>✔ Toʻliq — askar soni va oʻlja</v>
      </c>
      <c r="I21" s="1" t="n">
        <f aca="false">IF(A21&gt;shield_newbie_level,E21,0)</f>
        <v>5198</v>
      </c>
      <c r="J21" s="1" t="n">
        <f aca="false">IF(I21=0,0,ROUND(E21/I21,2))</f>
        <v>1</v>
      </c>
      <c r="K21" s="1" t="str">
        <f aca="false">IF(I21=0,"🛡 Qalqon / oyna tashqarisida",IF(J21&lt;=scout_partial,"❌ Muvaffaqiyatsiz — hech narsa koʻrinmaydi",IF(J21&lt;=scout_full,"◐ Qisman — faqat toʻda hajmi",IF(J21&lt;=scout_exact,"✔ Toʻliq — askar soni va oʻlja","★ Aniq — barcha raqamlar"))))</f>
        <v>❌ Muvaffaqiyatsiz — hech narsa koʻrinmaydi</v>
      </c>
      <c r="L21" s="1" t="n">
        <f aca="false">IF(A21&gt;shield_newbie_level,E22,0)</f>
        <v>6187</v>
      </c>
      <c r="M21" s="1" t="n">
        <f aca="false">IF(L21=0,0,ROUND(E21/L21,2))</f>
        <v>0.84</v>
      </c>
      <c r="N21" s="1" t="str">
        <f aca="false">IF(L21=0,"🛡 Qalqon / oyna tashqarisida",IF(M21&lt;=scout_partial,"❌ Muvaffaqiyatsiz — hech narsa koʻrinmaydi",IF(M21&lt;=scout_full,"◐ Qisman — faqat toʻda hajmi",IF(M21&lt;=scout_exact,"✔ Toʻliq — askar soni va oʻlja","★ Aniq — barcha raqamlar"))))</f>
        <v>❌ Muvaffaqiyatsiz — hech narsa koʻrinmaydi</v>
      </c>
    </row>
    <row r="22" customFormat="false" ht="15" hidden="false" customHeight="false" outlineLevel="0" collapsed="false">
      <c r="A22" s="1" t="n">
        <v>17</v>
      </c>
      <c r="B22" s="1" t="str">
        <f aca="false">Darajalar!B22</f>
        <v>Tundra boʻrisi</v>
      </c>
      <c r="C22" s="1" t="n">
        <f aca="false">'Askar iqtisodi'!C40</f>
        <v>21</v>
      </c>
      <c r="D22" s="1" t="n">
        <f aca="false">'Askar iqtisodi'!G40</f>
        <v>4</v>
      </c>
      <c r="E22" s="1" t="n">
        <f aca="false">ROUND(C22*(Rollar!$E$7*cp_w_power+Rollar!$F$7*cp_w_speed+Rollar!$G$7*cp_w_hp)*tier_coef^(D22-1)*(1+alpha_bonus*A22),0)</f>
        <v>6187</v>
      </c>
      <c r="F22" s="1" t="n">
        <f aca="false">IF(AND(A22&gt;shield_newbie_level,A22-1&gt;shield_newbie_level),E21,0)</f>
        <v>5198</v>
      </c>
      <c r="G22" s="1" t="n">
        <f aca="false">IF(F22=0,0,ROUND(E22/F22,2))</f>
        <v>1.19</v>
      </c>
      <c r="H22" s="1" t="str">
        <f aca="false">IF(F22=0,"🛡 Qalqon / oyna tashqarisida",IF(G22&lt;=scout_partial,"❌ Muvaffaqiyatsiz — hech narsa koʻrinmaydi",IF(G22&lt;=scout_full,"◐ Qisman — faqat toʻda hajmi",IF(G22&lt;=scout_exact,"✔ Toʻliq — askar soni va oʻlja","★ Aniq — barcha raqamlar"))))</f>
        <v>◐ Qisman — faqat toʻda hajmi</v>
      </c>
      <c r="I22" s="1" t="n">
        <f aca="false">IF(A22&gt;shield_newbie_level,E22,0)</f>
        <v>6187</v>
      </c>
      <c r="J22" s="1" t="n">
        <f aca="false">IF(I22=0,0,ROUND(E22/I22,2))</f>
        <v>1</v>
      </c>
      <c r="K22" s="1" t="str">
        <f aca="false">IF(I22=0,"🛡 Qalqon / oyna tashqarisida",IF(J22&lt;=scout_partial,"❌ Muvaffaqiyatsiz — hech narsa koʻrinmaydi",IF(J22&lt;=scout_full,"◐ Qisman — faqat toʻda hajmi",IF(J22&lt;=scout_exact,"✔ Toʻliq — askar soni va oʻlja","★ Aniq — barcha raqamlar"))))</f>
        <v>❌ Muvaffaqiyatsiz — hech narsa koʻrinmaydi</v>
      </c>
      <c r="L22" s="1" t="n">
        <f aca="false">IF(A22&gt;shield_newbie_level,E23,0)</f>
        <v>7812</v>
      </c>
      <c r="M22" s="1" t="n">
        <f aca="false">IF(L22=0,0,ROUND(E22/L22,2))</f>
        <v>0.79</v>
      </c>
      <c r="N22" s="1" t="str">
        <f aca="false">IF(L22=0,"🛡 Qalqon / oyna tashqarisida",IF(M22&lt;=scout_partial,"❌ Muvaffaqiyatsiz — hech narsa koʻrinmaydi",IF(M22&lt;=scout_full,"◐ Qisman — faqat toʻda hajmi",IF(M22&lt;=scout_exact,"✔ Toʻliq — askar soni va oʻlja","★ Aniq — barcha raqamlar"))))</f>
        <v>❌ Muvaffaqiyatsiz — hech narsa koʻrinmaydi</v>
      </c>
    </row>
    <row r="23" customFormat="false" ht="15" hidden="false" customHeight="false" outlineLevel="0" collapsed="false">
      <c r="A23" s="1" t="n">
        <v>18</v>
      </c>
      <c r="B23" s="1" t="str">
        <f aca="false">Darajalar!B23</f>
        <v>Alyaska ichki boʻrisi</v>
      </c>
      <c r="C23" s="1" t="n">
        <f aca="false">'Askar iqtisodi'!C41</f>
        <v>26</v>
      </c>
      <c r="D23" s="1" t="n">
        <f aca="false">'Askar iqtisodi'!G41</f>
        <v>4</v>
      </c>
      <c r="E23" s="1" t="n">
        <f aca="false">ROUND(C23*(Rollar!$E$7*cp_w_power+Rollar!$F$7*cp_w_speed+Rollar!$G$7*cp_w_hp)*tier_coef^(D23-1)*(1+alpha_bonus*A23),0)</f>
        <v>7812</v>
      </c>
      <c r="F23" s="1" t="n">
        <f aca="false">IF(AND(A23&gt;shield_newbie_level,A23-1&gt;shield_newbie_level),E22,0)</f>
        <v>6187</v>
      </c>
      <c r="G23" s="1" t="n">
        <f aca="false">IF(F23=0,0,ROUND(E23/F23,2))</f>
        <v>1.26</v>
      </c>
      <c r="H23" s="1" t="str">
        <f aca="false">IF(F23=0,"🛡 Qalqon / oyna tashqarisida",IF(G23&lt;=scout_partial,"❌ Muvaffaqiyatsiz — hech narsa koʻrinmaydi",IF(G23&lt;=scout_full,"◐ Qisman — faqat toʻda hajmi",IF(G23&lt;=scout_exact,"✔ Toʻliq — askar soni va oʻlja","★ Aniq — barcha raqamlar"))))</f>
        <v>◐ Qisman — faqat toʻda hajmi</v>
      </c>
      <c r="I23" s="1" t="n">
        <f aca="false">IF(A23&gt;shield_newbie_level,E23,0)</f>
        <v>7812</v>
      </c>
      <c r="J23" s="1" t="n">
        <f aca="false">IF(I23=0,0,ROUND(E23/I23,2))</f>
        <v>1</v>
      </c>
      <c r="K23" s="1" t="str">
        <f aca="false">IF(I23=0,"🛡 Qalqon / oyna tashqarisida",IF(J23&lt;=scout_partial,"❌ Muvaffaqiyatsiz — hech narsa koʻrinmaydi",IF(J23&lt;=scout_full,"◐ Qisman — faqat toʻda hajmi",IF(J23&lt;=scout_exact,"✔ Toʻliq — askar soni va oʻlja","★ Aniq — barcha raqamlar"))))</f>
        <v>❌ Muvaffaqiyatsiz — hech narsa koʻrinmaydi</v>
      </c>
      <c r="L23" s="1" t="n">
        <f aca="false">IF(A23&gt;shield_newbie_level,E24,0)</f>
        <v>9496</v>
      </c>
      <c r="M23" s="1" t="n">
        <f aca="false">IF(L23=0,0,ROUND(E23/L23,2))</f>
        <v>0.82</v>
      </c>
      <c r="N23" s="1" t="str">
        <f aca="false">IF(L23=0,"🛡 Qalqon / oyna tashqarisida",IF(M23&lt;=scout_partial,"❌ Muvaffaqiyatsiz — hech narsa koʻrinmaydi",IF(M23&lt;=scout_full,"◐ Qisman — faqat toʻda hajmi",IF(M23&lt;=scout_exact,"✔ Toʻliq — askar soni va oʻlja","★ Aniq — barcha raqamlar"))))</f>
        <v>❌ Muvaffaqiyatsiz — hech narsa koʻrinmaydi</v>
      </c>
    </row>
    <row r="24" customFormat="false" ht="15" hidden="false" customHeight="false" outlineLevel="0" collapsed="false">
      <c r="A24" s="1" t="n">
        <v>19</v>
      </c>
      <c r="B24" s="1" t="str">
        <f aca="false">Darajalar!B24</f>
        <v>Makkenzi vodiysi boʻrisi</v>
      </c>
      <c r="C24" s="1" t="n">
        <f aca="false">'Askar iqtisodi'!C42</f>
        <v>31</v>
      </c>
      <c r="D24" s="1" t="n">
        <f aca="false">'Askar iqtisodi'!G42</f>
        <v>4</v>
      </c>
      <c r="E24" s="1" t="n">
        <f aca="false">ROUND(C24*(Rollar!$E$7*cp_w_power+Rollar!$F$7*cp_w_speed+Rollar!$G$7*cp_w_hp)*tier_coef^(D24-1)*(1+alpha_bonus*A24),0)</f>
        <v>9496</v>
      </c>
      <c r="F24" s="1" t="n">
        <f aca="false">IF(AND(A24&gt;shield_newbie_level,A24-1&gt;shield_newbie_level),E23,0)</f>
        <v>7812</v>
      </c>
      <c r="G24" s="1" t="n">
        <f aca="false">IF(F24=0,0,ROUND(E24/F24,2))</f>
        <v>1.22</v>
      </c>
      <c r="H24" s="1" t="str">
        <f aca="false">IF(F24=0,"🛡 Qalqon / oyna tashqarisida",IF(G24&lt;=scout_partial,"❌ Muvaffaqiyatsiz — hech narsa koʻrinmaydi",IF(G24&lt;=scout_full,"◐ Qisman — faqat toʻda hajmi",IF(G24&lt;=scout_exact,"✔ Toʻliq — askar soni va oʻlja","★ Aniq — barcha raqamlar"))))</f>
        <v>◐ Qisman — faqat toʻda hajmi</v>
      </c>
      <c r="I24" s="1" t="n">
        <f aca="false">IF(A24&gt;shield_newbie_level,E24,0)</f>
        <v>9496</v>
      </c>
      <c r="J24" s="1" t="n">
        <f aca="false">IF(I24=0,0,ROUND(E24/I24,2))</f>
        <v>1</v>
      </c>
      <c r="K24" s="1" t="str">
        <f aca="false">IF(I24=0,"🛡 Qalqon / oyna tashqarisida",IF(J24&lt;=scout_partial,"❌ Muvaffaqiyatsiz — hech narsa koʻrinmaydi",IF(J24&lt;=scout_full,"◐ Qisman — faqat toʻda hajmi",IF(J24&lt;=scout_exact,"✔ Toʻliq — askar soni va oʻlja","★ Aniq — barcha raqamlar"))))</f>
        <v>❌ Muvaffaqiyatsiz — hech narsa koʻrinmaydi</v>
      </c>
      <c r="L24" s="1" t="n">
        <f aca="false">IF(A24&gt;shield_newbie_level,E25,0)</f>
        <v>16748</v>
      </c>
      <c r="M24" s="1" t="n">
        <f aca="false">IF(L24=0,0,ROUND(E24/L24,2))</f>
        <v>0.57</v>
      </c>
      <c r="N24" s="1" t="str">
        <f aca="false">IF(L24=0,"🛡 Qalqon / oyna tashqarisida",IF(M24&lt;=scout_partial,"❌ Muvaffaqiyatsiz — hech narsa koʻrinmaydi",IF(M24&lt;=scout_full,"◐ Qisman — faqat toʻda hajmi",IF(M24&lt;=scout_exact,"✔ Toʻliq — askar soni va oʻlja","★ Aniq — barcha raqamlar"))))</f>
        <v>❌ Muvaffaqiyatsiz — hech narsa koʻrinmaydi</v>
      </c>
    </row>
    <row r="25" customFormat="false" ht="15" hidden="false" customHeight="false" outlineLevel="0" collapsed="false">
      <c r="A25" s="1" t="n">
        <v>20</v>
      </c>
      <c r="B25" s="1" t="str">
        <f aca="false">Darajalar!B25</f>
        <v>Beringiya boʻrisi</v>
      </c>
      <c r="C25" s="1" t="n">
        <f aca="false">'Askar iqtisodi'!C43</f>
        <v>37</v>
      </c>
      <c r="D25" s="1" t="n">
        <f aca="false">'Askar iqtisodi'!G43</f>
        <v>5</v>
      </c>
      <c r="E25" s="1" t="n">
        <f aca="false">ROUND(C25*(Rollar!$E$7*cp_w_power+Rollar!$F$7*cp_w_speed+Rollar!$G$7*cp_w_hp)*tier_coef^(D25-1)*(1+alpha_bonus*A25),0)</f>
        <v>16748</v>
      </c>
      <c r="F25" s="1" t="n">
        <f aca="false">IF(AND(A25&gt;shield_newbie_level,A25-1&gt;shield_newbie_level),E24,0)</f>
        <v>9496</v>
      </c>
      <c r="G25" s="1" t="n">
        <f aca="false">IF(F25=0,0,ROUND(E25/F25,2))</f>
        <v>1.76</v>
      </c>
      <c r="H25" s="1" t="str">
        <f aca="false">IF(F25=0,"🛡 Qalqon / oyna tashqarisida",IF(G25&lt;=scout_partial,"❌ Muvaffaqiyatsiz — hech narsa koʻrinmaydi",IF(G25&lt;=scout_full,"◐ Qisman — faqat toʻda hajmi",IF(G25&lt;=scout_exact,"✔ Toʻliq — askar soni va oʻlja","★ Aniq — barcha raqamlar"))))</f>
        <v>✔ Toʻliq — askar soni va oʻlja</v>
      </c>
      <c r="I25" s="1" t="n">
        <f aca="false">IF(A25&gt;shield_newbie_level,E25,0)</f>
        <v>16748</v>
      </c>
      <c r="J25" s="1" t="n">
        <f aca="false">IF(I25=0,0,ROUND(E25/I25,2))</f>
        <v>1</v>
      </c>
      <c r="K25" s="1" t="str">
        <f aca="false">IF(I25=0,"🛡 Qalqon / oyna tashqarisida",IF(J25&lt;=scout_partial,"❌ Muvaffaqiyatsiz — hech narsa koʻrinmaydi",IF(J25&lt;=scout_full,"◐ Qisman — faqat toʻda hajmi",IF(J25&lt;=scout_exact,"✔ Toʻliq — askar soni va oʻlja","★ Aniq — barcha raqamlar"))))</f>
        <v>❌ Muvaffaqiyatsiz — hech narsa koʻrinmaydi</v>
      </c>
      <c r="L25" s="1" t="n">
        <f aca="false">IF(A25&gt;shield_newbie_level,E26,0)</f>
        <v>20290</v>
      </c>
      <c r="M25" s="1" t="n">
        <f aca="false">IF(L25=0,0,ROUND(E25/L25,2))</f>
        <v>0.83</v>
      </c>
      <c r="N25" s="1" t="str">
        <f aca="false">IF(L25=0,"🛡 Qalqon / oyna tashqarisida",IF(M25&lt;=scout_partial,"❌ Muvaffaqiyatsiz — hech narsa koʻrinmaydi",IF(M25&lt;=scout_full,"◐ Qisman — faqat toʻda hajmi",IF(M25&lt;=scout_exact,"✔ Toʻliq — askar soni va oʻlja","★ Aniq — barcha raqamlar"))))</f>
        <v>❌ Muvaffaqiyatsiz — hech narsa koʻrinmaydi</v>
      </c>
    </row>
    <row r="26" customFormat="false" ht="15" hidden="false" customHeight="false" outlineLevel="0" collapsed="false">
      <c r="A26" s="1" t="n">
        <v>21</v>
      </c>
      <c r="B26" s="1" t="str">
        <f aca="false">Darajalar!B26</f>
        <v>Dahshatli boʻri</v>
      </c>
      <c r="C26" s="1" t="n">
        <f aca="false">'Askar iqtisodi'!C44</f>
        <v>44</v>
      </c>
      <c r="D26" s="1" t="n">
        <f aca="false">'Askar iqtisodi'!G44</f>
        <v>5</v>
      </c>
      <c r="E26" s="1" t="n">
        <f aca="false">ROUND(C26*(Rollar!$E$7*cp_w_power+Rollar!$F$7*cp_w_speed+Rollar!$G$7*cp_w_hp)*tier_coef^(D26-1)*(1+alpha_bonus*A26),0)</f>
        <v>20290</v>
      </c>
      <c r="F26" s="1" t="n">
        <f aca="false">IF(AND(A26&gt;shield_newbie_level,A26-1&gt;shield_newbie_level),E25,0)</f>
        <v>16748</v>
      </c>
      <c r="G26" s="1" t="n">
        <f aca="false">IF(F26=0,0,ROUND(E26/F26,2))</f>
        <v>1.21</v>
      </c>
      <c r="H26" s="1" t="str">
        <f aca="false">IF(F26=0,"🛡 Qalqon / oyna tashqarisida",IF(G26&lt;=scout_partial,"❌ Muvaffaqiyatsiz — hech narsa koʻrinmaydi",IF(G26&lt;=scout_full,"◐ Qisman — faqat toʻda hajmi",IF(G26&lt;=scout_exact,"✔ Toʻliq — askar soni va oʻlja","★ Aniq — barcha raqamlar"))))</f>
        <v>◐ Qisman — faqat toʻda hajmi</v>
      </c>
      <c r="I26" s="1" t="n">
        <f aca="false">IF(A26&gt;shield_newbie_level,E26,0)</f>
        <v>20290</v>
      </c>
      <c r="J26" s="1" t="n">
        <f aca="false">IF(I26=0,0,ROUND(E26/I26,2))</f>
        <v>1</v>
      </c>
      <c r="K26" s="1" t="str">
        <f aca="false">IF(I26=0,"🛡 Qalqon / oyna tashqarisida",IF(J26&lt;=scout_partial,"❌ Muvaffaqiyatsiz — hech narsa koʻrinmaydi",IF(J26&lt;=scout_full,"◐ Qisman — faqat toʻda hajmi",IF(J26&lt;=scout_exact,"✔ Toʻliq — askar soni va oʻlja","★ Aniq — barcha raqamlar"))))</f>
        <v>❌ Muvaffaqiyatsiz — hech narsa koʻrinmaydi</v>
      </c>
      <c r="L26" s="1" t="n">
        <f aca="false">IF(A26&gt;shield_newbie_level,E27,0)</f>
        <v>24891</v>
      </c>
      <c r="M26" s="1" t="n">
        <f aca="false">IF(L26=0,0,ROUND(E26/L26,2))</f>
        <v>0.82</v>
      </c>
      <c r="N26" s="1" t="str">
        <f aca="false">IF(L26=0,"🛡 Qalqon / oyna tashqarisida",IF(M26&lt;=scout_partial,"❌ Muvaffaqiyatsiz — hech narsa koʻrinmaydi",IF(M26&lt;=scout_full,"◐ Qisman — faqat toʻda hajmi",IF(M26&lt;=scout_exact,"✔ Toʻliq — askar soni va oʻlja","★ Aniq — barcha raqamlar"))))</f>
        <v>❌ Muvaffaqiyatsiz — hech narsa koʻrinmaydi</v>
      </c>
    </row>
    <row r="27" customFormat="false" ht="15" hidden="false" customHeight="false" outlineLevel="0" collapsed="false">
      <c r="A27" s="1" t="n">
        <v>22</v>
      </c>
      <c r="B27" s="1" t="str">
        <f aca="false">Darajalar!B27</f>
        <v>Amarok</v>
      </c>
      <c r="C27" s="1" t="n">
        <f aca="false">'Askar iqtisodi'!C45</f>
        <v>53</v>
      </c>
      <c r="D27" s="1" t="n">
        <f aca="false">'Askar iqtisodi'!G45</f>
        <v>5</v>
      </c>
      <c r="E27" s="1" t="n">
        <f aca="false">ROUND(C27*(Rollar!$E$7*cp_w_power+Rollar!$F$7*cp_w_speed+Rollar!$G$7*cp_w_hp)*tier_coef^(D27-1)*(1+alpha_bonus*A27),0)</f>
        <v>24891</v>
      </c>
      <c r="F27" s="1" t="n">
        <f aca="false">IF(AND(A27&gt;shield_newbie_level,A27-1&gt;shield_newbie_level),E26,0)</f>
        <v>20290</v>
      </c>
      <c r="G27" s="1" t="n">
        <f aca="false">IF(F27=0,0,ROUND(E27/F27,2))</f>
        <v>1.23</v>
      </c>
      <c r="H27" s="1" t="str">
        <f aca="false">IF(F27=0,"🛡 Qalqon / oyna tashqarisida",IF(G27&lt;=scout_partial,"❌ Muvaffaqiyatsiz — hech narsa koʻrinmaydi",IF(G27&lt;=scout_full,"◐ Qisman — faqat toʻda hajmi",IF(G27&lt;=scout_exact,"✔ Toʻliq — askar soni va oʻlja","★ Aniq — barcha raqamlar"))))</f>
        <v>◐ Qisman — faqat toʻda hajmi</v>
      </c>
      <c r="I27" s="1" t="n">
        <f aca="false">IF(A27&gt;shield_newbie_level,E27,0)</f>
        <v>24891</v>
      </c>
      <c r="J27" s="1" t="n">
        <f aca="false">IF(I27=0,0,ROUND(E27/I27,2))</f>
        <v>1</v>
      </c>
      <c r="K27" s="1" t="str">
        <f aca="false">IF(I27=0,"🛡 Qalqon / oyna tashqarisida",IF(J27&lt;=scout_partial,"❌ Muvaffaqiyatsiz — hech narsa koʻrinmaydi",IF(J27&lt;=scout_full,"◐ Qisman — faqat toʻda hajmi",IF(J27&lt;=scout_exact,"✔ Toʻliq — askar soni va oʻlja","★ Aniq — barcha raqamlar"))))</f>
        <v>❌ Muvaffaqiyatsiz — hech narsa koʻrinmaydi</v>
      </c>
      <c r="L27" s="1" t="n">
        <f aca="false">IF(A27&gt;shield_newbie_level,E28,0)</f>
        <v>30600</v>
      </c>
      <c r="M27" s="1" t="n">
        <f aca="false">IF(L27=0,0,ROUND(E27/L27,2))</f>
        <v>0.81</v>
      </c>
      <c r="N27" s="1" t="str">
        <f aca="false">IF(L27=0,"🛡 Qalqon / oyna tashqarisida",IF(M27&lt;=scout_partial,"❌ Muvaffaqiyatsiz — hech narsa koʻrinmaydi",IF(M27&lt;=scout_full,"◐ Qisman — faqat toʻda hajmi",IF(M27&lt;=scout_exact,"✔ Toʻliq — askar soni va oʻlja","★ Aniq — barcha raqamlar"))))</f>
        <v>❌ Muvaffaqiyatsiz — hech narsa koʻrinmaydi</v>
      </c>
    </row>
    <row r="28" customFormat="false" ht="15" hidden="false" customHeight="false" outlineLevel="0" collapsed="false">
      <c r="A28" s="1" t="n">
        <v>23</v>
      </c>
      <c r="B28" s="1" t="str">
        <f aca="false">Darajalar!B28</f>
        <v>Geri va Freki</v>
      </c>
      <c r="C28" s="1" t="n">
        <f aca="false">'Askar iqtisodi'!C46</f>
        <v>64</v>
      </c>
      <c r="D28" s="1" t="n">
        <f aca="false">'Askar iqtisodi'!G46</f>
        <v>5</v>
      </c>
      <c r="E28" s="1" t="n">
        <f aca="false">ROUND(C28*(Rollar!$E$7*cp_w_power+Rollar!$F$7*cp_w_speed+Rollar!$G$7*cp_w_hp)*tier_coef^(D28-1)*(1+alpha_bonus*A28),0)</f>
        <v>30600</v>
      </c>
      <c r="F28" s="1" t="n">
        <f aca="false">IF(AND(A28&gt;shield_newbie_level,A28-1&gt;shield_newbie_level),E27,0)</f>
        <v>24891</v>
      </c>
      <c r="G28" s="1" t="n">
        <f aca="false">IF(F28=0,0,ROUND(E28/F28,2))</f>
        <v>1.23</v>
      </c>
      <c r="H28" s="1" t="str">
        <f aca="false">IF(F28=0,"🛡 Qalqon / oyna tashqarisida",IF(G28&lt;=scout_partial,"❌ Muvaffaqiyatsiz — hech narsa koʻrinmaydi",IF(G28&lt;=scout_full,"◐ Qisman — faqat toʻda hajmi",IF(G28&lt;=scout_exact,"✔ Toʻliq — askar soni va oʻlja","★ Aniq — barcha raqamlar"))))</f>
        <v>◐ Qisman — faqat toʻda hajmi</v>
      </c>
      <c r="I28" s="1" t="n">
        <f aca="false">IF(A28&gt;shield_newbie_level,E28,0)</f>
        <v>30600</v>
      </c>
      <c r="J28" s="1" t="n">
        <f aca="false">IF(I28=0,0,ROUND(E28/I28,2))</f>
        <v>1</v>
      </c>
      <c r="K28" s="1" t="str">
        <f aca="false">IF(I28=0,"🛡 Qalqon / oyna tashqarisida",IF(J28&lt;=scout_partial,"❌ Muvaffaqiyatsiz — hech narsa koʻrinmaydi",IF(J28&lt;=scout_full,"◐ Qisman — faqat toʻda hajmi",IF(J28&lt;=scout_exact,"✔ Toʻliq — askar soni va oʻlja","★ Aniq — barcha raqamlar"))))</f>
        <v>❌ Muvaffaqiyatsiz — hech narsa koʻrinmaydi</v>
      </c>
      <c r="L28" s="1" t="n">
        <f aca="false">IF(A28&gt;shield_newbie_level,E29,0)</f>
        <v>54330</v>
      </c>
      <c r="M28" s="1" t="n">
        <f aca="false">IF(L28=0,0,ROUND(E28/L28,2))</f>
        <v>0.56</v>
      </c>
      <c r="N28" s="1" t="str">
        <f aca="false">IF(L28=0,"🛡 Qalqon / oyna tashqarisida",IF(M28&lt;=scout_partial,"❌ Muvaffaqiyatsiz — hech narsa koʻrinmaydi",IF(M28&lt;=scout_full,"◐ Qisman — faqat toʻda hajmi",IF(M28&lt;=scout_exact,"✔ Toʻliq — askar soni va oʻlja","★ Aniq — barcha raqamlar"))))</f>
        <v>❌ Muvaffaqiyatsiz — hech narsa koʻrinmaydi</v>
      </c>
    </row>
    <row r="29" customFormat="false" ht="15" hidden="false" customHeight="false" outlineLevel="0" collapsed="false">
      <c r="A29" s="1" t="n">
        <v>24</v>
      </c>
      <c r="B29" s="1" t="str">
        <f aca="false">Darajalar!B29</f>
        <v>Fenrir</v>
      </c>
      <c r="C29" s="1" t="n">
        <f aca="false">'Askar iqtisodi'!C47</f>
        <v>77</v>
      </c>
      <c r="D29" s="1" t="n">
        <f aca="false">'Askar iqtisodi'!G47</f>
        <v>6</v>
      </c>
      <c r="E29" s="1" t="n">
        <f aca="false">ROUND(C29*(Rollar!$E$7*cp_w_power+Rollar!$F$7*cp_w_speed+Rollar!$G$7*cp_w_hp)*tier_coef^(D29-1)*(1+alpha_bonus*A29),0)</f>
        <v>54330</v>
      </c>
      <c r="F29" s="1" t="n">
        <f aca="false">IF(AND(A29&gt;shield_newbie_level,A29-1&gt;shield_newbie_level),E28,0)</f>
        <v>30600</v>
      </c>
      <c r="G29" s="1" t="n">
        <f aca="false">IF(F29=0,0,ROUND(E29/F29,2))</f>
        <v>1.78</v>
      </c>
      <c r="H29" s="1" t="str">
        <f aca="false">IF(F29=0,"🛡 Qalqon / oyna tashqarisida",IF(G29&lt;=scout_partial,"❌ Muvaffaqiyatsiz — hech narsa koʻrinmaydi",IF(G29&lt;=scout_full,"◐ Qisman — faqat toʻda hajmi",IF(G29&lt;=scout_exact,"✔ Toʻliq — askar soni va oʻlja","★ Aniq — barcha raqamlar"))))</f>
        <v>✔ Toʻliq — askar soni va oʻlja</v>
      </c>
      <c r="I29" s="1" t="n">
        <f aca="false">IF(A29&gt;shield_newbie_level,E29,0)</f>
        <v>54330</v>
      </c>
      <c r="J29" s="1" t="n">
        <f aca="false">IF(I29=0,0,ROUND(E29/I29,2))</f>
        <v>1</v>
      </c>
      <c r="K29" s="1" t="str">
        <f aca="false">IF(I29=0,"🛡 Qalqon / oyna tashqarisida",IF(J29&lt;=scout_partial,"❌ Muvaffaqiyatsiz — hech narsa koʻrinmaydi",IF(J29&lt;=scout_full,"◐ Qisman — faqat toʻda hajmi",IF(J29&lt;=scout_exact,"✔ Toʻliq — askar soni va oʻlja","★ Aniq — barcha raqamlar"))))</f>
        <v>❌ Muvaffaqiyatsiz — hech narsa koʻrinmaydi</v>
      </c>
      <c r="L29" s="1" t="n">
        <f aca="false">IF(A29&gt;shield_newbie_level,E30,0)</f>
        <v>66046</v>
      </c>
      <c r="M29" s="1" t="n">
        <f aca="false">IF(L29=0,0,ROUND(E29/L29,2))</f>
        <v>0.82</v>
      </c>
      <c r="N29" s="1" t="str">
        <f aca="false">IF(L29=0,"🛡 Qalqon / oyna tashqarisida",IF(M29&lt;=scout_partial,"❌ Muvaffaqiyatsiz — hech narsa koʻrinmaydi",IF(M29&lt;=scout_full,"◐ Qisman — faqat toʻda hajmi",IF(M29&lt;=scout_exact,"✔ Toʻliq — askar soni va oʻlja","★ Aniq — barcha raqamlar"))))</f>
        <v>❌ Muvaffaqiyatsiz — hech narsa koʻrinmaydi</v>
      </c>
    </row>
    <row r="30" customFormat="false" ht="15" hidden="false" customHeight="false" outlineLevel="0" collapsed="false">
      <c r="A30" s="1" t="n">
        <v>25</v>
      </c>
      <c r="B30" s="1" t="str">
        <f aca="false">Darajalar!B30</f>
        <v>Koʻk Boʻri</v>
      </c>
      <c r="C30" s="1" t="n">
        <f aca="false">'Askar iqtisodi'!C48</f>
        <v>92</v>
      </c>
      <c r="D30" s="1" t="n">
        <f aca="false">'Askar iqtisodi'!G48</f>
        <v>6</v>
      </c>
      <c r="E30" s="1" t="n">
        <f aca="false">ROUND(C30*(Rollar!$E$7*cp_w_power+Rollar!$F$7*cp_w_speed+Rollar!$G$7*cp_w_hp)*tier_coef^(D30-1)*(1+alpha_bonus*A30),0)</f>
        <v>66046</v>
      </c>
      <c r="F30" s="1" t="n">
        <f aca="false">IF(AND(A30&gt;shield_newbie_level,A30-1&gt;shield_newbie_level),E29,0)</f>
        <v>54330</v>
      </c>
      <c r="G30" s="1" t="n">
        <f aca="false">IF(F30=0,0,ROUND(E30/F30,2))</f>
        <v>1.22</v>
      </c>
      <c r="H30" s="1" t="str">
        <f aca="false">IF(F30=0,"🛡 Qalqon / oyna tashqarisida",IF(G30&lt;=scout_partial,"❌ Muvaffaqiyatsiz — hech narsa koʻrinmaydi",IF(G30&lt;=scout_full,"◐ Qisman — faqat toʻda hajmi",IF(G30&lt;=scout_exact,"✔ Toʻliq — askar soni va oʻlja","★ Aniq — barcha raqamlar"))))</f>
        <v>◐ Qisman — faqat toʻda hajmi</v>
      </c>
      <c r="I30" s="1" t="n">
        <f aca="false">IF(A30&gt;shield_newbie_level,E30,0)</f>
        <v>66046</v>
      </c>
      <c r="J30" s="1" t="n">
        <f aca="false">IF(I30=0,0,ROUND(E30/I30,2))</f>
        <v>1</v>
      </c>
      <c r="K30" s="1" t="str">
        <f aca="false">IF(I30=0,"🛡 Qalqon / oyna tashqarisida",IF(J30&lt;=scout_partial,"❌ Muvaffaqiyatsiz — hech narsa koʻrinmaydi",IF(J30&lt;=scout_full,"◐ Qisman — faqat toʻda hajmi",IF(J30&lt;=scout_exact,"✔ Toʻliq — askar soni va oʻlja","★ Aniq — barcha raqamlar"))))</f>
        <v>❌ Muvaffaqiyatsiz — hech narsa koʻrinmaydi</v>
      </c>
      <c r="L30" s="1" t="n">
        <v>0</v>
      </c>
      <c r="M30" s="1" t="n">
        <f aca="false">IF(L30=0,0,ROUND(E30/L30,2))</f>
        <v>0</v>
      </c>
      <c r="N30" s="1" t="str">
        <f aca="false">IF(L30=0,"🛡 Qalqon / oyna tashqarisida",IF(M30&lt;=scout_partial,"❌ Muvaffaqiyatsiz — hech narsa koʻrinmaydi",IF(M30&lt;=scout_full,"◐ Qisman — faqat toʻda hajmi",IF(M30&lt;=scout_exact,"✔ Toʻliq — askar soni va oʻlja","★ Aniq — barcha raqamlar"))))</f>
        <v>🛡 Qalqon / oyna tashqarisida</v>
      </c>
    </row>
    <row r="31" customFormat="false" ht="15" hidden="false" customHeight="false" outlineLevel="0" collapsed="false">
      <c r="A31" s="1" t="s">
        <v>320</v>
      </c>
    </row>
    <row r="32" customFormat="false" ht="15" hidden="false" customHeight="false" outlineLevel="0" collapsed="false">
      <c r="A32" s="1" t="s">
        <v>314</v>
      </c>
      <c r="B32" s="1" t="s">
        <v>321</v>
      </c>
      <c r="C32" s="1" t="s">
        <v>322</v>
      </c>
      <c r="D32" s="1" t="s">
        <v>323</v>
      </c>
    </row>
    <row r="33" customFormat="false" ht="15" hidden="false" customHeight="false" outlineLevel="0" collapsed="false">
      <c r="A33" s="1" t="s">
        <v>324</v>
      </c>
      <c r="B33" s="1" t="s">
        <v>325</v>
      </c>
      <c r="C33" s="1" t="s">
        <v>326</v>
      </c>
      <c r="D33" s="1" t="s">
        <v>327</v>
      </c>
    </row>
    <row r="34" customFormat="false" ht="15" hidden="false" customHeight="false" outlineLevel="0" collapsed="false">
      <c r="A34" s="1" t="s">
        <v>328</v>
      </c>
      <c r="B34" s="1" t="s">
        <v>329</v>
      </c>
      <c r="C34" s="1" t="s">
        <v>330</v>
      </c>
      <c r="D34" s="1" t="s">
        <v>331</v>
      </c>
    </row>
    <row r="35" customFormat="false" ht="15" hidden="false" customHeight="false" outlineLevel="0" collapsed="false">
      <c r="A35" s="1" t="s">
        <v>332</v>
      </c>
      <c r="B35" s="1" t="s">
        <v>333</v>
      </c>
      <c r="C35" s="1" t="s">
        <v>334</v>
      </c>
      <c r="D35" s="1" t="s">
        <v>331</v>
      </c>
    </row>
    <row r="36" customFormat="false" ht="15" hidden="false" customHeight="false" outlineLevel="0" collapsed="false">
      <c r="A36" s="1" t="s">
        <v>335</v>
      </c>
      <c r="B36" s="1" t="s">
        <v>336</v>
      </c>
      <c r="C36" s="1" t="s">
        <v>337</v>
      </c>
      <c r="D36" s="1" t="s">
        <v>331</v>
      </c>
    </row>
    <row r="37" customFormat="false" ht="15" hidden="false" customHeight="false" outlineLevel="0" collapsed="false">
      <c r="A37" s="1" t="s">
        <v>338</v>
      </c>
    </row>
    <row r="38" customFormat="false" ht="15" hidden="false" customHeight="false" outlineLevel="0" collapsed="false">
      <c r="A38" s="1" t="s">
        <v>312</v>
      </c>
      <c r="B38" s="1" t="s">
        <v>339</v>
      </c>
    </row>
    <row r="39" customFormat="false" ht="15" hidden="false" customHeight="false" outlineLevel="0" collapsed="false">
      <c r="A39" s="1" t="s">
        <v>251</v>
      </c>
      <c r="B39" s="1" t="s">
        <v>340</v>
      </c>
    </row>
    <row r="40" customFormat="false" ht="15" hidden="false" customHeight="false" outlineLevel="0" collapsed="false">
      <c r="A40" s="1" t="s">
        <v>250</v>
      </c>
      <c r="B40" s="1" t="s">
        <v>341</v>
      </c>
    </row>
    <row r="41" customFormat="false" ht="15" hidden="false" customHeight="false" outlineLevel="0" collapsed="false">
      <c r="A41" s="1" t="s">
        <v>342</v>
      </c>
      <c r="B41" s="1" t="s">
        <v>343</v>
      </c>
    </row>
    <row r="42" customFormat="false" ht="15" hidden="false" customHeight="false" outlineLevel="0" collapsed="false">
      <c r="A42" s="1" t="s">
        <v>344</v>
      </c>
      <c r="B42" s="1" t="s">
        <v>345</v>
      </c>
    </row>
    <row r="43" customFormat="false" ht="15" hidden="false" customHeight="false" outlineLevel="0" collapsed="false">
      <c r="A43" s="1" t="s">
        <v>346</v>
      </c>
      <c r="B43" s="1" t="s">
        <v>347</v>
      </c>
    </row>
    <row r="44" customFormat="false" ht="15" hidden="false" customHeight="false" outlineLevel="0" collapsed="false">
      <c r="A44" s="1" t="s">
        <v>348</v>
      </c>
      <c r="B44" s="1" t="s">
        <v>349</v>
      </c>
    </row>
    <row r="45" customFormat="false" ht="15" hidden="false" customHeight="false" outlineLevel="0" collapsed="false">
      <c r="A45" s="1" t="s">
        <v>350</v>
      </c>
    </row>
    <row r="46" customFormat="false" ht="15" hidden="false" customHeight="false" outlineLevel="0" collapsed="false">
      <c r="A46" s="1" t="s">
        <v>351</v>
      </c>
    </row>
    <row r="47" customFormat="false" ht="15" hidden="false" customHeight="false" outlineLevel="0" collapsed="false">
      <c r="A47" s="1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3" customFormat="false" ht="15" hidden="false" customHeight="false" outlineLevel="0" collapsed="false">
      <c r="A3" s="1" t="s">
        <v>353</v>
      </c>
    </row>
    <row r="4" customFormat="false" ht="15" hidden="false" customHeight="false" outlineLevel="0" collapsed="false">
      <c r="A4" s="1" t="s">
        <v>354</v>
      </c>
    </row>
    <row r="5" customFormat="false" ht="15" hidden="false" customHeight="false" outlineLevel="0" collapsed="false">
      <c r="A5" s="2" t="s">
        <v>2</v>
      </c>
      <c r="B5" s="2" t="s">
        <v>3</v>
      </c>
      <c r="C5" s="2" t="s">
        <v>16</v>
      </c>
      <c r="D5" s="2" t="s">
        <v>355</v>
      </c>
      <c r="E5" s="2" t="s">
        <v>356</v>
      </c>
      <c r="F5" s="2" t="s">
        <v>357</v>
      </c>
      <c r="G5" s="2" t="s">
        <v>358</v>
      </c>
      <c r="H5" s="2" t="s">
        <v>359</v>
      </c>
      <c r="I5" s="2" t="s">
        <v>360</v>
      </c>
      <c r="J5" s="2" t="s">
        <v>361</v>
      </c>
      <c r="K5" s="2" t="s">
        <v>362</v>
      </c>
    </row>
    <row r="6" customFormat="false" ht="15" hidden="false" customHeight="false" outlineLevel="0" collapsed="false">
      <c r="A6" s="1" t="n">
        <v>1</v>
      </c>
      <c r="B6" s="1" t="str">
        <f aca="false">Darajalar!B6</f>
        <v>Honsyu boʻrisi</v>
      </c>
      <c r="C6" s="1" t="n">
        <f aca="false">Darajalar!O6</f>
        <v>1</v>
      </c>
      <c r="D6" s="1" t="n">
        <f aca="false">MAX(1,ROUND(C6*camp_send_share,0))</f>
        <v>1</v>
      </c>
      <c r="E6" s="1" t="n">
        <f aca="false">'Askar iqtisodi'!G24</f>
        <v>1</v>
      </c>
      <c r="F6" s="1" t="n">
        <f aca="false">ROUND(MIN(D6*prod_base*prod_growth^(A6-1)*camp_rate*(1+camp_tier_bonus*E6),camp_yield_share_max*H6/camp_hours),0)</f>
        <v>2</v>
      </c>
      <c r="G6" s="1" t="n">
        <f aca="false">F6*camp_hours</f>
        <v>16</v>
      </c>
      <c r="H6" s="1" t="n">
        <f aca="false">ROUND(prod_base*prod_growth^(A6-1)*24,0)</f>
        <v>480</v>
      </c>
      <c r="I6" s="1" t="n">
        <f aca="false">MIN(camp_yield_share_max,D6*prod_base*prod_growth^(A6-1)*camp_rate*(1+camp_tier_bonus*E6)*camp_hours/H6)</f>
        <v>0.035</v>
      </c>
      <c r="J6" s="1" t="n">
        <f aca="false">'Askar iqtisodi'!E24</f>
        <v>0</v>
      </c>
      <c r="K6" s="1" t="str">
        <f aca="false">IF(A6&lt;pack_unlock_level,"Lager ochilmagan",IF(D6*prod_base*prod_growth^(A6-1)*camp_rate*(1+camp_tier_bonus*E6)*camp_hours/H6&gt;camp_yield_share_max,"Tavan: xom ulush "&amp;TEXT(D6*prod_base*prod_growth^(A6-1)*camp_rate*(1+camp_tier_bonus*E6)*camp_hours/H6,"0%")&amp;" → "&amp;TEXT(camp_yield_share_max,"0%"),"Muvozanatli"))</f>
        <v>Lager ochilmagan</v>
      </c>
    </row>
    <row r="7" customFormat="false" ht="15" hidden="false" customHeight="false" outlineLevel="0" collapsed="false">
      <c r="A7" s="1" t="n">
        <v>2</v>
      </c>
      <c r="B7" s="1" t="str">
        <f aca="false">Darajalar!B7</f>
        <v>Efiopiya boʻrisi</v>
      </c>
      <c r="C7" s="1" t="n">
        <f aca="false">Darajalar!O7</f>
        <v>1</v>
      </c>
      <c r="D7" s="1" t="n">
        <f aca="false">MAX(1,ROUND(C7*camp_send_share,0))</f>
        <v>1</v>
      </c>
      <c r="E7" s="1" t="n">
        <f aca="false">'Askar iqtisodi'!G25</f>
        <v>1</v>
      </c>
      <c r="F7" s="1" t="n">
        <f aca="false">ROUND(MIN(D7*prod_base*prod_growth^(A7-1)*camp_rate*(1+camp_tier_bonus*E7),camp_yield_share_max*H7/camp_hours),0)</f>
        <v>3</v>
      </c>
      <c r="G7" s="1" t="n">
        <f aca="false">F7*camp_hours</f>
        <v>24</v>
      </c>
      <c r="H7" s="1" t="n">
        <f aca="false">ROUND(prod_base*prod_growth^(A7-1)*24,0)</f>
        <v>586</v>
      </c>
      <c r="I7" s="1" t="n">
        <f aca="false">MIN(camp_yield_share_max,D7*prod_base*prod_growth^(A7-1)*camp_rate*(1+camp_tier_bonus*E7)*camp_hours/H7)</f>
        <v>0.0349761092150171</v>
      </c>
      <c r="J7" s="1" t="n">
        <f aca="false">'Askar iqtisodi'!E25</f>
        <v>0</v>
      </c>
      <c r="K7" s="1" t="str">
        <f aca="false">IF(A7&lt;pack_unlock_level,"Lager ochilmagan",IF(D7*prod_base*prod_growth^(A7-1)*camp_rate*(1+camp_tier_bonus*E7)*camp_hours/H7&gt;camp_yield_share_max,"Tavan: xom ulush "&amp;TEXT(D7*prod_base*prod_growth^(A7-1)*camp_rate*(1+camp_tier_bonus*E7)*camp_hours/H7,"0%")&amp;" → "&amp;TEXT(camp_yield_share_max,"0%"),"Muvozanatli"))</f>
        <v>Lager ochilmagan</v>
      </c>
    </row>
    <row r="8" customFormat="false" ht="15" hidden="false" customHeight="false" outlineLevel="0" collapsed="false">
      <c r="A8" s="1" t="n">
        <v>3</v>
      </c>
      <c r="B8" s="1" t="str">
        <f aca="false">Darajalar!B8</f>
        <v>Arab boʻrisi</v>
      </c>
      <c r="C8" s="1" t="n">
        <f aca="false">Darajalar!O8</f>
        <v>1</v>
      </c>
      <c r="D8" s="1" t="n">
        <f aca="false">MAX(1,ROUND(C8*camp_send_share,0))</f>
        <v>1</v>
      </c>
      <c r="E8" s="1" t="n">
        <f aca="false">'Askar iqtisodi'!G26</f>
        <v>1</v>
      </c>
      <c r="F8" s="1" t="n">
        <f aca="false">ROUND(MIN(D8*prod_base*prod_growth^(A8-1)*camp_rate*(1+camp_tier_bonus*E8),camp_yield_share_max*H8/camp_hours),0)</f>
        <v>3</v>
      </c>
      <c r="G8" s="1" t="n">
        <f aca="false">F8*camp_hours</f>
        <v>24</v>
      </c>
      <c r="H8" s="1" t="n">
        <f aca="false">ROUND(prod_base*prod_growth^(A8-1)*24,0)</f>
        <v>714</v>
      </c>
      <c r="I8" s="1" t="n">
        <f aca="false">MIN(camp_yield_share_max,D8*prod_base*prod_growth^(A8-1)*camp_rate*(1+camp_tier_bonus*E8)*camp_hours/H8)</f>
        <v>0.0350211764705882</v>
      </c>
      <c r="J8" s="1" t="n">
        <f aca="false">'Askar iqtisodi'!E26</f>
        <v>0</v>
      </c>
      <c r="K8" s="1" t="str">
        <f aca="false">IF(A8&lt;pack_unlock_level,"Lager ochilmagan",IF(D8*prod_base*prod_growth^(A8-1)*camp_rate*(1+camp_tier_bonus*E8)*camp_hours/H8&gt;camp_yield_share_max,"Tavan: xom ulush "&amp;TEXT(D8*prod_base*prod_growth^(A8-1)*camp_rate*(1+camp_tier_bonus*E8)*camp_hours/H8,"0%")&amp;" → "&amp;TEXT(camp_yield_share_max,"0%"),"Muvozanatli"))</f>
        <v>Lager ochilmagan</v>
      </c>
    </row>
    <row r="9" customFormat="false" ht="15" hidden="false" customHeight="false" outlineLevel="0" collapsed="false">
      <c r="A9" s="1" t="n">
        <v>4</v>
      </c>
      <c r="B9" s="1" t="str">
        <f aca="false">Darajalar!B9</f>
        <v>Hind boʻrisi</v>
      </c>
      <c r="C9" s="1" t="n">
        <f aca="false">Darajalar!O9</f>
        <v>10</v>
      </c>
      <c r="D9" s="1" t="n">
        <f aca="false">MAX(1,ROUND(C9*camp_send_share,0))</f>
        <v>5</v>
      </c>
      <c r="E9" s="1" t="n">
        <f aca="false">'Askar iqtisodi'!G27</f>
        <v>1</v>
      </c>
      <c r="F9" s="1" t="n">
        <f aca="false">ROUND(MIN(D9*prod_base*prod_growth^(A9-1)*camp_rate*(1+camp_tier_bonus*E9),camp_yield_share_max*H9/camp_hours),0)</f>
        <v>19</v>
      </c>
      <c r="G9" s="1" t="n">
        <f aca="false">F9*camp_hours</f>
        <v>152</v>
      </c>
      <c r="H9" s="1" t="n">
        <f aca="false">ROUND(prod_base*prod_growth^(A9-1)*24,0)</f>
        <v>872</v>
      </c>
      <c r="I9" s="1" t="n">
        <f aca="false">MIN(camp_yield_share_max,D9*prod_base*prod_growth^(A9-1)*camp_rate*(1+camp_tier_bonus*E9)*camp_hours/H9)</f>
        <v>0.174921137614679</v>
      </c>
      <c r="J9" s="1" t="n">
        <f aca="false">'Askar iqtisodi'!E27</f>
        <v>2</v>
      </c>
      <c r="K9" s="1" t="str">
        <f aca="false">IF(A9&lt;pack_unlock_level,"Lager ochilmagan",IF(D9*prod_base*prod_growth^(A9-1)*camp_rate*(1+camp_tier_bonus*E9)*camp_hours/H9&gt;camp_yield_share_max,"Tavan: xom ulush "&amp;TEXT(D9*prod_base*prod_growth^(A9-1)*camp_rate*(1+camp_tier_bonus*E9)*camp_hours/H9,"0%")&amp;" → "&amp;TEXT(camp_yield_share_max,"0%"),"Muvozanatli"))</f>
        <v>Muvozanatli</v>
      </c>
    </row>
    <row r="10" customFormat="false" ht="15" hidden="false" customHeight="false" outlineLevel="0" collapsed="false">
      <c r="A10" s="1" t="n">
        <v>5</v>
      </c>
      <c r="B10" s="1" t="str">
        <f aca="false">Darajalar!B10</f>
        <v>Qizil boʻri</v>
      </c>
      <c r="C10" s="1" t="n">
        <f aca="false">Darajalar!O10</f>
        <v>12</v>
      </c>
      <c r="D10" s="1" t="n">
        <f aca="false">MAX(1,ROUND(C10*camp_send_share,0))</f>
        <v>6</v>
      </c>
      <c r="E10" s="1" t="n">
        <f aca="false">'Askar iqtisodi'!G28</f>
        <v>1</v>
      </c>
      <c r="F10" s="1" t="n">
        <f aca="false">ROUND(MIN(D10*prod_base*prod_growth^(A10-1)*camp_rate*(1+camp_tier_bonus*E10),camp_yield_share_max*H10/camp_hours),0)</f>
        <v>28</v>
      </c>
      <c r="G10" s="1" t="n">
        <f aca="false">F10*camp_hours</f>
        <v>224</v>
      </c>
      <c r="H10" s="1" t="n">
        <f aca="false">ROUND(prod_base*prod_growth^(A10-1)*24,0)</f>
        <v>1063</v>
      </c>
      <c r="I10" s="1" t="n">
        <f aca="false">MIN(camp_yield_share_max,D10*prod_base*prod_growth^(A10-1)*camp_rate*(1+camp_tier_bonus*E10)*camp_hours/H10)</f>
        <v>0.210071235793039</v>
      </c>
      <c r="J10" s="1" t="n">
        <f aca="false">'Askar iqtisodi'!E28</f>
        <v>2</v>
      </c>
      <c r="K10" s="1" t="str">
        <f aca="false">IF(A10&lt;pack_unlock_level,"Lager ochilmagan",IF(D10*prod_base*prod_growth^(A10-1)*camp_rate*(1+camp_tier_bonus*E10)*camp_hours/H10&gt;camp_yield_share_max,"Tavan: xom ulush "&amp;TEXT(D10*prod_base*prod_growth^(A10-1)*camp_rate*(1+camp_tier_bonus*E10)*camp_hours/H10,"0%")&amp;" → "&amp;TEXT(camp_yield_share_max,"0%"),"Muvozanatli"))</f>
        <v>Muvozanatli</v>
      </c>
    </row>
    <row r="11" customFormat="false" ht="15" hidden="false" customHeight="false" outlineLevel="0" collapsed="false">
      <c r="A11" s="1" t="n">
        <v>6</v>
      </c>
      <c r="B11" s="1" t="str">
        <f aca="false">Darajalar!B11</f>
        <v>Italyan boʻrisi</v>
      </c>
      <c r="C11" s="1" t="n">
        <f aca="false">Darajalar!O11</f>
        <v>14</v>
      </c>
      <c r="D11" s="1" t="n">
        <f aca="false">MAX(1,ROUND(C11*camp_send_share,0))</f>
        <v>7</v>
      </c>
      <c r="E11" s="1" t="n">
        <f aca="false">'Askar iqtisodi'!G29</f>
        <v>1</v>
      </c>
      <c r="F11" s="1" t="n">
        <f aca="false">ROUND(MIN(D11*prod_base*prod_growth^(A11-1)*camp_rate*(1+camp_tier_bonus*E11),camp_yield_share_max*H11/camp_hours),0)</f>
        <v>40</v>
      </c>
      <c r="G11" s="1" t="n">
        <f aca="false">F11*camp_hours</f>
        <v>320</v>
      </c>
      <c r="H11" s="1" t="n">
        <f aca="false">ROUND(prod_base*prod_growth^(A11-1)*24,0)</f>
        <v>1297</v>
      </c>
      <c r="I11" s="1" t="n">
        <f aca="false">MIN(camp_yield_share_max,D11*prod_base*prod_growth^(A11-1)*camp_rate*(1+camp_tier_bonus*E11)*camp_hours/H11)</f>
        <v>0.245056653810578</v>
      </c>
      <c r="J11" s="1" t="n">
        <f aca="false">'Askar iqtisodi'!E29</f>
        <v>3</v>
      </c>
      <c r="K11" s="1" t="str">
        <f aca="false">IF(A11&lt;pack_unlock_level,"Lager ochilmagan",IF(D11*prod_base*prod_growth^(A11-1)*camp_rate*(1+camp_tier_bonus*E11)*camp_hours/H11&gt;camp_yield_share_max,"Tavan: xom ulush "&amp;TEXT(D11*prod_base*prod_growth^(A11-1)*camp_rate*(1+camp_tier_bonus*E11)*camp_hours/H11,"0%")&amp;" → "&amp;TEXT(camp_yield_share_max,"0%"),"Muvozanatli"))</f>
        <v>Muvozanatli</v>
      </c>
    </row>
    <row r="12" customFormat="false" ht="15" hidden="false" customHeight="false" outlineLevel="0" collapsed="false">
      <c r="A12" s="1" t="n">
        <v>7</v>
      </c>
      <c r="B12" s="1" t="str">
        <f aca="false">Darajalar!B12</f>
        <v>Meksika boʻrisi</v>
      </c>
      <c r="C12" s="1" t="n">
        <f aca="false">Darajalar!O12</f>
        <v>17</v>
      </c>
      <c r="D12" s="1" t="n">
        <f aca="false">MAX(1,ROUND(C12*camp_send_share,0))</f>
        <v>9</v>
      </c>
      <c r="E12" s="1" t="n">
        <f aca="false">'Askar iqtisodi'!G30</f>
        <v>1</v>
      </c>
      <c r="F12" s="1" t="n">
        <f aca="false">ROUND(MIN(D12*prod_base*prod_growth^(A12-1)*camp_rate*(1+camp_tier_bonus*E12),camp_yield_share_max*H12/camp_hours),0)</f>
        <v>62</v>
      </c>
      <c r="G12" s="1" t="n">
        <f aca="false">F12*camp_hours</f>
        <v>496</v>
      </c>
      <c r="H12" s="1" t="n">
        <f aca="false">ROUND(prod_base*prod_growth^(A12-1)*24,0)</f>
        <v>1583</v>
      </c>
      <c r="I12" s="1" t="n">
        <f aca="false">MIN(camp_yield_share_max,D12*prod_base*prod_growth^(A12-1)*camp_rate*(1+camp_tier_bonus*E12)*camp_hours/H12)</f>
        <v>0.31494147733198</v>
      </c>
      <c r="J12" s="1" t="n">
        <f aca="false">'Askar iqtisodi'!E30</f>
        <v>3</v>
      </c>
      <c r="K12" s="1" t="str">
        <f aca="false">IF(A12&lt;pack_unlock_level,"Lager ochilmagan",IF(D12*prod_base*prod_growth^(A12-1)*camp_rate*(1+camp_tier_bonus*E12)*camp_hours/H12&gt;camp_yield_share_max,"Tavan: xom ulush "&amp;TEXT(D12*prod_base*prod_growth^(A12-1)*camp_rate*(1+camp_tier_bonus*E12)*camp_hours/H12,"0%")&amp;" → "&amp;TEXT(camp_yield_share_max,"0%"),"Muvozanatli"))</f>
        <v>Muvozanatli</v>
      </c>
    </row>
    <row r="13" customFormat="false" ht="15" hidden="false" customHeight="false" outlineLevel="0" collapsed="false">
      <c r="A13" s="1" t="n">
        <v>8</v>
      </c>
      <c r="B13" s="1" t="str">
        <f aca="false">Darajalar!B13</f>
        <v>Sharqiy boʻri</v>
      </c>
      <c r="C13" s="1" t="n">
        <f aca="false">Darajalar!O13</f>
        <v>21</v>
      </c>
      <c r="D13" s="1" t="n">
        <f aca="false">MAX(1,ROUND(C13*camp_send_share,0))</f>
        <v>11</v>
      </c>
      <c r="E13" s="1" t="n">
        <f aca="false">'Askar iqtisodi'!G31</f>
        <v>2</v>
      </c>
      <c r="F13" s="1" t="n">
        <f aca="false">ROUND(MIN(D13*prod_base*prod_growth^(A13-1)*camp_rate*(1+camp_tier_bonus*E13),camp_yield_share_max*H13/camp_hours),0)</f>
        <v>97</v>
      </c>
      <c r="G13" s="1" t="n">
        <f aca="false">F13*camp_hours</f>
        <v>776</v>
      </c>
      <c r="H13" s="1" t="n">
        <f aca="false">ROUND(prod_base*prod_growth^(A13-1)*24,0)</f>
        <v>1931</v>
      </c>
      <c r="I13" s="1" t="n">
        <f aca="false">MIN(camp_yield_share_max,D13*prod_base*prod_growth^(A13-1)*camp_rate*(1+camp_tier_bonus*E13)*camp_hours/H13)</f>
        <v>0.403312696379437</v>
      </c>
      <c r="J13" s="1" t="n">
        <f aca="false">'Askar iqtisodi'!E31</f>
        <v>4</v>
      </c>
      <c r="K13" s="1" t="str">
        <f aca="false">IF(A13&lt;pack_unlock_level,"Lager ochilmagan",IF(D13*prod_base*prod_growth^(A13-1)*camp_rate*(1+camp_tier_bonus*E13)*camp_hours/H13&gt;camp_yield_share_max,"Tavan: xom ulush "&amp;TEXT(D13*prod_base*prod_growth^(A13-1)*camp_rate*(1+camp_tier_bonus*E13)*camp_hours/H13,"0%")&amp;" → "&amp;TEXT(camp_yield_share_max,"0%"),"Muvozanatli"))</f>
        <v>Muvozanatli</v>
      </c>
    </row>
    <row r="14" customFormat="false" ht="15" hidden="false" customHeight="false" outlineLevel="0" collapsed="false">
      <c r="A14" s="1" t="n">
        <v>9</v>
      </c>
      <c r="B14" s="1" t="str">
        <f aca="false">Darajalar!B14</f>
        <v>Iberiya boʻrisi</v>
      </c>
      <c r="C14" s="1" t="n">
        <f aca="false">Darajalar!O14</f>
        <v>25</v>
      </c>
      <c r="D14" s="1" t="n">
        <f aca="false">MAX(1,ROUND(C14*camp_send_share,0))</f>
        <v>13</v>
      </c>
      <c r="E14" s="1" t="n">
        <f aca="false">'Askar iqtisodi'!G32</f>
        <v>2</v>
      </c>
      <c r="F14" s="1" t="n">
        <f aca="false">ROUND(MIN(D14*prod_base*prod_growth^(A14-1)*camp_rate*(1+camp_tier_bonus*E14),camp_yield_share_max*H14/camp_hours),0)</f>
        <v>140</v>
      </c>
      <c r="G14" s="1" t="n">
        <f aca="false">F14*camp_hours</f>
        <v>1120</v>
      </c>
      <c r="H14" s="1" t="n">
        <f aca="false">ROUND(prod_base*prod_growth^(A14-1)*24,0)</f>
        <v>2356</v>
      </c>
      <c r="I14" s="1" t="n">
        <f aca="false">MIN(camp_yield_share_max,D14*prod_base*prod_growth^(A14-1)*camp_rate*(1+camp_tier_bonus*E14)*camp_hours/H14)</f>
        <v>0.476605861745634</v>
      </c>
      <c r="J14" s="1" t="n">
        <f aca="false">'Askar iqtisodi'!E32</f>
        <v>5</v>
      </c>
      <c r="K14" s="1" t="str">
        <f aca="false">IF(A14&lt;pack_unlock_level,"Lager ochilmagan",IF(D14*prod_base*prod_growth^(A14-1)*camp_rate*(1+camp_tier_bonus*E14)*camp_hours/H14&gt;camp_yield_share_max,"Tavan: xom ulush "&amp;TEXT(D14*prod_base*prod_growth^(A14-1)*camp_rate*(1+camp_tier_bonus*E14)*camp_hours/H14,"0%")&amp;" → "&amp;TEXT(camp_yield_share_max,"0%"),"Muvozanatli"))</f>
        <v>Muvozanatli</v>
      </c>
    </row>
    <row r="15" customFormat="false" ht="15" hidden="false" customHeight="false" outlineLevel="0" collapsed="false">
      <c r="A15" s="1" t="n">
        <v>10</v>
      </c>
      <c r="B15" s="1" t="str">
        <f aca="false">Darajalar!B15</f>
        <v>Dasht boʻrisi</v>
      </c>
      <c r="C15" s="1" t="n">
        <f aca="false">Darajalar!O15</f>
        <v>30</v>
      </c>
      <c r="D15" s="1" t="n">
        <f aca="false">MAX(1,ROUND(C15*camp_send_share,0))</f>
        <v>15</v>
      </c>
      <c r="E15" s="1" t="n">
        <f aca="false">'Askar iqtisodi'!G33</f>
        <v>2</v>
      </c>
      <c r="F15" s="1" t="n">
        <f aca="false">ROUND(MIN(D15*prod_base*prod_growth^(A15-1)*camp_rate*(1+camp_tier_bonus*E15),camp_yield_share_max*H15/camp_hours),0)</f>
        <v>198</v>
      </c>
      <c r="G15" s="1" t="n">
        <f aca="false">F15*camp_hours</f>
        <v>1584</v>
      </c>
      <c r="H15" s="1" t="n">
        <f aca="false">ROUND(prod_base*prod_growth^(A15-1)*24,0)</f>
        <v>2874</v>
      </c>
      <c r="I15" s="1" t="n">
        <f aca="false">MIN(camp_yield_share_max,D15*prod_base*prod_growth^(A15-1)*camp_rate*(1+camp_tier_bonus*E15)*camp_hours/H15)</f>
        <v>0.549991071355673</v>
      </c>
      <c r="J15" s="1" t="n">
        <f aca="false">'Askar iqtisodi'!E33</f>
        <v>6</v>
      </c>
      <c r="K15" s="1" t="str">
        <f aca="false">IF(A15&lt;pack_unlock_level,"Lager ochilmagan",IF(D15*prod_base*prod_growth^(A15-1)*camp_rate*(1+camp_tier_bonus*E15)*camp_hours/H15&gt;camp_yield_share_max,"Tavan: xom ulush "&amp;TEXT(D15*prod_base*prod_growth^(A15-1)*camp_rate*(1+camp_tier_bonus*E15)*camp_hours/H15,"0%")&amp;" → "&amp;TEXT(camp_yield_share_max,"0%"),"Muvozanatli"))</f>
        <v>Muvozanatli</v>
      </c>
    </row>
    <row r="16" customFormat="false" ht="15" hidden="false" customHeight="false" outlineLevel="0" collapsed="false">
      <c r="A16" s="1" t="n">
        <v>11</v>
      </c>
      <c r="B16" s="1" t="str">
        <f aca="false">Darajalar!B16</f>
        <v>Himolay boʻrisi</v>
      </c>
      <c r="C16" s="1" t="n">
        <f aca="false">Darajalar!O16</f>
        <v>36</v>
      </c>
      <c r="D16" s="1" t="n">
        <f aca="false">MAX(1,ROUND(C16*camp_send_share,0))</f>
        <v>18</v>
      </c>
      <c r="E16" s="1" t="n">
        <f aca="false">'Askar iqtisodi'!G34</f>
        <v>2</v>
      </c>
      <c r="F16" s="1" t="n">
        <f aca="false">ROUND(MIN(D16*prod_base*prod_growth^(A16-1)*camp_rate*(1+camp_tier_bonus*E16),camp_yield_share_max*H16/camp_hours),0)</f>
        <v>263</v>
      </c>
      <c r="G16" s="1" t="n">
        <f aca="false">F16*camp_hours</f>
        <v>2104</v>
      </c>
      <c r="H16" s="1" t="n">
        <f aca="false">ROUND(prod_base*prod_growth^(A16-1)*24,0)</f>
        <v>3506</v>
      </c>
      <c r="I16" s="1" t="n">
        <f aca="false">MIN(camp_yield_share_max,D16*prod_base*prod_growth^(A16-1)*camp_rate*(1+camp_tier_bonus*E16)*camp_hours/H16)</f>
        <v>0.6</v>
      </c>
      <c r="J16" s="1" t="n">
        <f aca="false">'Askar iqtisodi'!E34</f>
        <v>7</v>
      </c>
      <c r="K16" s="1" t="str">
        <f aca="false">IF(A16&lt;pack_unlock_level,"Lager ochilmagan",IF(D16*prod_base*prod_growth^(A16-1)*camp_rate*(1+camp_tier_bonus*E16)*camp_hours/H16&gt;camp_yield_share_max,"Tavan: xom ulush "&amp;TEXT(D16*prod_base*prod_growth^(A16-1)*camp_rate*(1+camp_tier_bonus*E16)*camp_hours/H16,"0%")&amp;" → "&amp;TEXT(camp_yield_share_max,"0%"),"Muvozanatli"))</f>
        <v>Tavan: xom ulush 66% → 60%</v>
      </c>
    </row>
    <row r="17" customFormat="false" ht="15" hidden="false" customHeight="false" outlineLevel="0" collapsed="false">
      <c r="A17" s="1" t="n">
        <v>12</v>
      </c>
      <c r="B17" s="1" t="str">
        <f aca="false">Darajalar!B17</f>
        <v>Ezo boʻrisi</v>
      </c>
      <c r="C17" s="1" t="n">
        <f aca="false">Darajalar!O17</f>
        <v>43</v>
      </c>
      <c r="D17" s="1" t="n">
        <f aca="false">MAX(1,ROUND(C17*camp_send_share,0))</f>
        <v>22</v>
      </c>
      <c r="E17" s="1" t="n">
        <f aca="false">'Askar iqtisodi'!G35</f>
        <v>3</v>
      </c>
      <c r="F17" s="1" t="n">
        <f aca="false">ROUND(MIN(D17*prod_base*prod_growth^(A17-1)*camp_rate*(1+camp_tier_bonus*E17),camp_yield_share_max*H17/camp_hours),0)</f>
        <v>321</v>
      </c>
      <c r="G17" s="1" t="n">
        <f aca="false">F17*camp_hours</f>
        <v>2568</v>
      </c>
      <c r="H17" s="1" t="n">
        <f aca="false">ROUND(prod_base*prod_growth^(A17-1)*24,0)</f>
        <v>4278</v>
      </c>
      <c r="I17" s="1" t="n">
        <f aca="false">MIN(camp_yield_share_max,D17*prod_base*prod_growth^(A17-1)*camp_rate*(1+camp_tier_bonus*E17)*camp_hours/H17)</f>
        <v>0.6</v>
      </c>
      <c r="J17" s="1" t="n">
        <f aca="false">'Askar iqtisodi'!E35</f>
        <v>9</v>
      </c>
      <c r="K17" s="1" t="str">
        <f aca="false">IF(A17&lt;pack_unlock_level,"Lager ochilmagan",IF(D17*prod_base*prod_growth^(A17-1)*camp_rate*(1+camp_tier_bonus*E17)*camp_hours/H17&gt;camp_yield_share_max,"Tavan: xom ulush "&amp;TEXT(D17*prod_base*prod_growth^(A17-1)*camp_rate*(1+camp_tier_bonus*E17)*camp_hours/H17,"0%")&amp;" → "&amp;TEXT(camp_yield_share_max,"0%"),"Muvozanatli"))</f>
        <v>Tavan: xom ulush 84% → 60%</v>
      </c>
    </row>
    <row r="18" customFormat="false" ht="15" hidden="false" customHeight="false" outlineLevel="0" collapsed="false">
      <c r="A18" s="1" t="n">
        <v>13</v>
      </c>
      <c r="B18" s="1" t="str">
        <f aca="false">Darajalar!B18</f>
        <v>Tibet boʻrisi</v>
      </c>
      <c r="C18" s="1" t="n">
        <f aca="false">Darajalar!O18</f>
        <v>52</v>
      </c>
      <c r="D18" s="1" t="n">
        <f aca="false">MAX(1,ROUND(C18*camp_send_share,0))</f>
        <v>26</v>
      </c>
      <c r="E18" s="1" t="n">
        <f aca="false">'Askar iqtisodi'!G36</f>
        <v>3</v>
      </c>
      <c r="F18" s="1" t="n">
        <f aca="false">ROUND(MIN(D18*prod_base*prod_growth^(A18-1)*camp_rate*(1+camp_tier_bonus*E18),camp_yield_share_max*H18/camp_hours),0)</f>
        <v>391</v>
      </c>
      <c r="G18" s="1" t="n">
        <f aca="false">F18*camp_hours</f>
        <v>3128</v>
      </c>
      <c r="H18" s="1" t="n">
        <f aca="false">ROUND(prod_base*prod_growth^(A18-1)*24,0)</f>
        <v>5219</v>
      </c>
      <c r="I18" s="1" t="n">
        <f aca="false">MIN(camp_yield_share_max,D18*prod_base*prod_growth^(A18-1)*camp_rate*(1+camp_tier_bonus*E18)*camp_hours/H18)</f>
        <v>0.6</v>
      </c>
      <c r="J18" s="1" t="n">
        <f aca="false">'Askar iqtisodi'!E36</f>
        <v>10</v>
      </c>
      <c r="K18" s="1" t="str">
        <f aca="false">IF(A18&lt;pack_unlock_level,"Lager ochilmagan",IF(D18*prod_base*prod_growth^(A18-1)*camp_rate*(1+camp_tier_bonus*E18)*camp_hours/H18&gt;camp_yield_share_max,"Tavan: xom ulush "&amp;TEXT(D18*prod_base*prod_growth^(A18-1)*camp_rate*(1+camp_tier_bonus*E18)*camp_hours/H18,"0%")&amp;" → "&amp;TEXT(camp_yield_share_max,"0%"),"Muvozanatli"))</f>
        <v>Tavan: xom ulush 100% → 60%</v>
      </c>
    </row>
    <row r="19" customFormat="false" ht="15" hidden="false" customHeight="false" outlineLevel="0" collapsed="false">
      <c r="A19" s="1" t="n">
        <v>14</v>
      </c>
      <c r="B19" s="1" t="str">
        <f aca="false">Darajalar!B19</f>
        <v>Arktika boʻrisi</v>
      </c>
      <c r="C19" s="1" t="n">
        <f aca="false">Darajalar!O19</f>
        <v>62</v>
      </c>
      <c r="D19" s="1" t="n">
        <f aca="false">MAX(1,ROUND(C19*camp_send_share,0))</f>
        <v>31</v>
      </c>
      <c r="E19" s="1" t="n">
        <f aca="false">'Askar iqtisodi'!G37</f>
        <v>3</v>
      </c>
      <c r="F19" s="1" t="n">
        <f aca="false">ROUND(MIN(D19*prod_base*prod_growth^(A19-1)*camp_rate*(1+camp_tier_bonus*E19),camp_yield_share_max*H19/camp_hours),0)</f>
        <v>478</v>
      </c>
      <c r="G19" s="1" t="n">
        <f aca="false">F19*camp_hours</f>
        <v>3824</v>
      </c>
      <c r="H19" s="1" t="n">
        <f aca="false">ROUND(prod_base*prod_growth^(A19-1)*24,0)</f>
        <v>6367</v>
      </c>
      <c r="I19" s="1" t="n">
        <f aca="false">MIN(camp_yield_share_max,D19*prod_base*prod_growth^(A19-1)*camp_rate*(1+camp_tier_bonus*E19)*camp_hours/H19)</f>
        <v>0.6</v>
      </c>
      <c r="J19" s="1" t="n">
        <f aca="false">'Askar iqtisodi'!E37</f>
        <v>12</v>
      </c>
      <c r="K19" s="1" t="str">
        <f aca="false">IF(A19&lt;pack_unlock_level,"Lager ochilmagan",IF(D19*prod_base*prod_growth^(A19-1)*camp_rate*(1+camp_tier_bonus*E19)*camp_hours/H19&gt;camp_yield_share_max,"Tavan: xom ulush "&amp;TEXT(D19*prod_base*prod_growth^(A19-1)*camp_rate*(1+camp_tier_bonus*E19)*camp_hours/H19,"0%")&amp;" → "&amp;TEXT(camp_yield_share_max,"0%"),"Muvozanatli"))</f>
        <v>Tavan: xom ulush 119% → 60%</v>
      </c>
    </row>
    <row r="20" customFormat="false" ht="15" hidden="false" customHeight="false" outlineLevel="0" collapsed="false">
      <c r="A20" s="1" t="n">
        <v>15</v>
      </c>
      <c r="B20" s="1" t="str">
        <f aca="false">Darajalar!B20</f>
        <v>Buyuk tekislik boʻrisi</v>
      </c>
      <c r="C20" s="1" t="n">
        <f aca="false">Darajalar!O20</f>
        <v>74</v>
      </c>
      <c r="D20" s="1" t="n">
        <f aca="false">MAX(1,ROUND(C20*camp_send_share,0))</f>
        <v>37</v>
      </c>
      <c r="E20" s="1" t="n">
        <f aca="false">'Askar iqtisodi'!G38</f>
        <v>3</v>
      </c>
      <c r="F20" s="1" t="n">
        <f aca="false">ROUND(MIN(D20*prod_base*prod_growth^(A20-1)*camp_rate*(1+camp_tier_bonus*E20),camp_yield_share_max*H20/camp_hours),0)</f>
        <v>583</v>
      </c>
      <c r="G20" s="1" t="n">
        <f aca="false">F20*camp_hours</f>
        <v>4664</v>
      </c>
      <c r="H20" s="1" t="n">
        <f aca="false">ROUND(prod_base*prod_growth^(A20-1)*24,0)</f>
        <v>7767</v>
      </c>
      <c r="I20" s="1" t="n">
        <f aca="false">MIN(camp_yield_share_max,D20*prod_base*prod_growth^(A20-1)*camp_rate*(1+camp_tier_bonus*E20)*camp_hours/H20)</f>
        <v>0.6</v>
      </c>
      <c r="J20" s="1" t="n">
        <f aca="false">'Askar iqtisodi'!E38</f>
        <v>15</v>
      </c>
      <c r="K20" s="1" t="str">
        <f aca="false">IF(A20&lt;pack_unlock_level,"Lager ochilmagan",IF(D20*prod_base*prod_growth^(A20-1)*camp_rate*(1+camp_tier_bonus*E20)*camp_hours/H20&gt;camp_yield_share_max,"Tavan: xom ulush "&amp;TEXT(D20*prod_base*prod_growth^(A20-1)*camp_rate*(1+camp_tier_bonus*E20)*camp_hours/H20,"0%")&amp;" → "&amp;TEXT(camp_yield_share_max,"0%"),"Muvozanatli"))</f>
        <v>Tavan: xom ulush 142% → 60%</v>
      </c>
    </row>
    <row r="21" customFormat="false" ht="15" hidden="false" customHeight="false" outlineLevel="0" collapsed="false">
      <c r="A21" s="1" t="n">
        <v>16</v>
      </c>
      <c r="B21" s="1" t="str">
        <f aca="false">Darajalar!B21</f>
        <v>Yevroosiyo kulrang boʻrisi</v>
      </c>
      <c r="C21" s="1" t="n">
        <f aca="false">Darajalar!O21</f>
        <v>89</v>
      </c>
      <c r="D21" s="1" t="n">
        <f aca="false">MAX(1,ROUND(C21*camp_send_share,0))</f>
        <v>45</v>
      </c>
      <c r="E21" s="1" t="n">
        <f aca="false">'Askar iqtisodi'!G39</f>
        <v>4</v>
      </c>
      <c r="F21" s="1" t="n">
        <f aca="false">ROUND(MIN(D21*prod_base*prod_growth^(A21-1)*camp_rate*(1+camp_tier_bonus*E21),camp_yield_share_max*H21/camp_hours),0)</f>
        <v>711</v>
      </c>
      <c r="G21" s="1" t="n">
        <f aca="false">F21*camp_hours</f>
        <v>5688</v>
      </c>
      <c r="H21" s="1" t="n">
        <f aca="false">ROUND(prod_base*prod_growth^(A21-1)*24,0)</f>
        <v>9476</v>
      </c>
      <c r="I21" s="1" t="n">
        <f aca="false">MIN(camp_yield_share_max,D21*prod_base*prod_growth^(A21-1)*camp_rate*(1+camp_tier_bonus*E21)*camp_hours/H21)</f>
        <v>0.6</v>
      </c>
      <c r="J21" s="1" t="n">
        <f aca="false">'Askar iqtisodi'!E39</f>
        <v>18</v>
      </c>
      <c r="K21" s="1" t="str">
        <f aca="false">IF(A21&lt;pack_unlock_level,"Lager ochilmagan",IF(D21*prod_base*prod_growth^(A21-1)*camp_rate*(1+camp_tier_bonus*E21)*camp_hours/H21&gt;camp_yield_share_max,"Tavan: xom ulush "&amp;TEXT(D21*prod_base*prod_growth^(A21-1)*camp_rate*(1+camp_tier_bonus*E21)*camp_hours/H21,"0%")&amp;" → "&amp;TEXT(camp_yield_share_max,"0%"),"Muvozanatli"))</f>
        <v>Tavan: xom ulush 180% → 60%</v>
      </c>
    </row>
    <row r="22" customFormat="false" ht="15" hidden="false" customHeight="false" outlineLevel="0" collapsed="false">
      <c r="A22" s="1" t="n">
        <v>17</v>
      </c>
      <c r="B22" s="1" t="str">
        <f aca="false">Darajalar!B22</f>
        <v>Tundra boʻrisi</v>
      </c>
      <c r="C22" s="1" t="n">
        <f aca="false">Darajalar!O22</f>
        <v>107</v>
      </c>
      <c r="D22" s="1" t="n">
        <f aca="false">MAX(1,ROUND(C22*camp_send_share,0))</f>
        <v>54</v>
      </c>
      <c r="E22" s="1" t="n">
        <f aca="false">'Askar iqtisodi'!G40</f>
        <v>4</v>
      </c>
      <c r="F22" s="1" t="n">
        <f aca="false">ROUND(MIN(D22*prod_base*prod_growth^(A22-1)*camp_rate*(1+camp_tier_bonus*E22),camp_yield_share_max*H22/camp_hours),0)</f>
        <v>867</v>
      </c>
      <c r="G22" s="1" t="n">
        <f aca="false">F22*camp_hours</f>
        <v>6936</v>
      </c>
      <c r="H22" s="1" t="n">
        <f aca="false">ROUND(prod_base*prod_growth^(A22-1)*24,0)</f>
        <v>11561</v>
      </c>
      <c r="I22" s="1" t="n">
        <f aca="false">MIN(camp_yield_share_max,D22*prod_base*prod_growth^(A22-1)*camp_rate*(1+camp_tier_bonus*E22)*camp_hours/H22)</f>
        <v>0.6</v>
      </c>
      <c r="J22" s="1" t="n">
        <f aca="false">'Askar iqtisodi'!E40</f>
        <v>21</v>
      </c>
      <c r="K22" s="1" t="str">
        <f aca="false">IF(A22&lt;pack_unlock_level,"Lager ochilmagan",IF(D22*prod_base*prod_growth^(A22-1)*camp_rate*(1+camp_tier_bonus*E22)*camp_hours/H22&gt;camp_yield_share_max,"Tavan: xom ulush "&amp;TEXT(D22*prod_base*prod_growth^(A22-1)*camp_rate*(1+camp_tier_bonus*E22)*camp_hours/H22,"0%")&amp;" → "&amp;TEXT(camp_yield_share_max,"0%"),"Muvozanatli"))</f>
        <v>Tavan: xom ulush 216% → 60%</v>
      </c>
    </row>
    <row r="23" customFormat="false" ht="15" hidden="false" customHeight="false" outlineLevel="0" collapsed="false">
      <c r="A23" s="1" t="n">
        <v>18</v>
      </c>
      <c r="B23" s="1" t="str">
        <f aca="false">Darajalar!B23</f>
        <v>Alyaska ichki boʻrisi</v>
      </c>
      <c r="C23" s="1" t="n">
        <f aca="false">Darajalar!O23</f>
        <v>128</v>
      </c>
      <c r="D23" s="1" t="n">
        <f aca="false">MAX(1,ROUND(C23*camp_send_share,0))</f>
        <v>64</v>
      </c>
      <c r="E23" s="1" t="n">
        <f aca="false">'Askar iqtisodi'!G41</f>
        <v>4</v>
      </c>
      <c r="F23" s="1" t="n">
        <f aca="false">ROUND(MIN(D23*prod_base*prod_growth^(A23-1)*camp_rate*(1+camp_tier_bonus*E23),camp_yield_share_max*H23/camp_hours),0)</f>
        <v>1058</v>
      </c>
      <c r="G23" s="1" t="n">
        <f aca="false">F23*camp_hours</f>
        <v>8464</v>
      </c>
      <c r="H23" s="1" t="n">
        <f aca="false">ROUND(prod_base*prod_growth^(A23-1)*24,0)</f>
        <v>14105</v>
      </c>
      <c r="I23" s="1" t="n">
        <f aca="false">MIN(camp_yield_share_max,D23*prod_base*prod_growth^(A23-1)*camp_rate*(1+camp_tier_bonus*E23)*camp_hours/H23)</f>
        <v>0.6</v>
      </c>
      <c r="J23" s="1" t="n">
        <f aca="false">'Askar iqtisodi'!E41</f>
        <v>26</v>
      </c>
      <c r="K23" s="1" t="str">
        <f aca="false">IF(A23&lt;pack_unlock_level,"Lager ochilmagan",IF(D23*prod_base*prod_growth^(A23-1)*camp_rate*(1+camp_tier_bonus*E23)*camp_hours/H23&gt;camp_yield_share_max,"Tavan: xom ulush "&amp;TEXT(D23*prod_base*prod_growth^(A23-1)*camp_rate*(1+camp_tier_bonus*E23)*camp_hours/H23,"0%")&amp;" → "&amp;TEXT(camp_yield_share_max,"0%"),"Muvozanatli"))</f>
        <v>Tavan: xom ulush 256% → 60%</v>
      </c>
    </row>
    <row r="24" customFormat="false" ht="15" hidden="false" customHeight="false" outlineLevel="0" collapsed="false">
      <c r="A24" s="1" t="n">
        <v>19</v>
      </c>
      <c r="B24" s="1" t="str">
        <f aca="false">Darajalar!B24</f>
        <v>Makkenzi vodiysi boʻrisi</v>
      </c>
      <c r="C24" s="1" t="n">
        <f aca="false">Darajalar!O24</f>
        <v>154</v>
      </c>
      <c r="D24" s="1" t="n">
        <f aca="false">MAX(1,ROUND(C24*camp_send_share,0))</f>
        <v>77</v>
      </c>
      <c r="E24" s="1" t="n">
        <f aca="false">'Askar iqtisodi'!G42</f>
        <v>4</v>
      </c>
      <c r="F24" s="1" t="n">
        <f aca="false">ROUND(MIN(D24*prod_base*prod_growth^(A24-1)*camp_rate*(1+camp_tier_bonus*E24),camp_yield_share_max*H24/camp_hours),0)</f>
        <v>1291</v>
      </c>
      <c r="G24" s="1" t="n">
        <f aca="false">F24*camp_hours</f>
        <v>10328</v>
      </c>
      <c r="H24" s="1" t="n">
        <f aca="false">ROUND(prod_base*prod_growth^(A24-1)*24,0)</f>
        <v>17208</v>
      </c>
      <c r="I24" s="1" t="n">
        <f aca="false">MIN(camp_yield_share_max,D24*prod_base*prod_growth^(A24-1)*camp_rate*(1+camp_tier_bonus*E24)*camp_hours/H24)</f>
        <v>0.6</v>
      </c>
      <c r="J24" s="1" t="n">
        <f aca="false">'Askar iqtisodi'!E42</f>
        <v>31</v>
      </c>
      <c r="K24" s="1" t="str">
        <f aca="false">IF(A24&lt;pack_unlock_level,"Lager ochilmagan",IF(D24*prod_base*prod_growth^(A24-1)*camp_rate*(1+camp_tier_bonus*E24)*camp_hours/H24&gt;camp_yield_share_max,"Tavan: xom ulush "&amp;TEXT(D24*prod_base*prod_growth^(A24-1)*camp_rate*(1+camp_tier_bonus*E24)*camp_hours/H24,"0%")&amp;" → "&amp;TEXT(camp_yield_share_max,"0%"),"Muvozanatli"))</f>
        <v>Tavan: xom ulush 308% → 60%</v>
      </c>
    </row>
    <row r="25" customFormat="false" ht="15" hidden="false" customHeight="false" outlineLevel="0" collapsed="false">
      <c r="A25" s="1" t="n">
        <v>20</v>
      </c>
      <c r="B25" s="1" t="str">
        <f aca="false">Darajalar!B25</f>
        <v>Beringiya boʻrisi</v>
      </c>
      <c r="C25" s="1" t="n">
        <f aca="false">Darajalar!O25</f>
        <v>185</v>
      </c>
      <c r="D25" s="1" t="n">
        <f aca="false">MAX(1,ROUND(C25*camp_send_share,0))</f>
        <v>93</v>
      </c>
      <c r="E25" s="1" t="n">
        <f aca="false">'Askar iqtisodi'!G43</f>
        <v>5</v>
      </c>
      <c r="F25" s="1" t="n">
        <f aca="false">ROUND(MIN(D25*prod_base*prod_growth^(A25-1)*camp_rate*(1+camp_tier_bonus*E25),camp_yield_share_max*H25/camp_hours),0)</f>
        <v>1574</v>
      </c>
      <c r="G25" s="1" t="n">
        <f aca="false">F25*camp_hours</f>
        <v>12592</v>
      </c>
      <c r="H25" s="1" t="n">
        <f aca="false">ROUND(prod_base*prod_growth^(A25-1)*24,0)</f>
        <v>20993</v>
      </c>
      <c r="I25" s="1" t="n">
        <f aca="false">MIN(camp_yield_share_max,D25*prod_base*prod_growth^(A25-1)*camp_rate*(1+camp_tier_bonus*E25)*camp_hours/H25)</f>
        <v>0.6</v>
      </c>
      <c r="J25" s="1" t="n">
        <f aca="false">'Askar iqtisodi'!E43</f>
        <v>37</v>
      </c>
      <c r="K25" s="1" t="str">
        <f aca="false">IF(A25&lt;pack_unlock_level,"Lager ochilmagan",IF(D25*prod_base*prod_growth^(A25-1)*camp_rate*(1+camp_tier_bonus*E25)*camp_hours/H25&gt;camp_yield_share_max,"Tavan: xom ulush "&amp;TEXT(D25*prod_base*prod_growth^(A25-1)*camp_rate*(1+camp_tier_bonus*E25)*camp_hours/H25,"0%")&amp;" → "&amp;TEXT(camp_yield_share_max,"0%"),"Muvozanatli"))</f>
        <v>Tavan: xom ulush 388% → 60%</v>
      </c>
    </row>
    <row r="26" customFormat="false" ht="15" hidden="false" customHeight="false" outlineLevel="0" collapsed="false">
      <c r="A26" s="1" t="n">
        <v>21</v>
      </c>
      <c r="B26" s="1" t="str">
        <f aca="false">Darajalar!B26</f>
        <v>Dahshatli boʻri</v>
      </c>
      <c r="C26" s="1" t="n">
        <f aca="false">Darajalar!O26</f>
        <v>222</v>
      </c>
      <c r="D26" s="1" t="n">
        <f aca="false">MAX(1,ROUND(C26*camp_send_share,0))</f>
        <v>111</v>
      </c>
      <c r="E26" s="1" t="n">
        <f aca="false">'Askar iqtisodi'!G44</f>
        <v>5</v>
      </c>
      <c r="F26" s="1" t="n">
        <f aca="false">ROUND(MIN(D26*prod_base*prod_growth^(A26-1)*camp_rate*(1+camp_tier_bonus*E26),camp_yield_share_max*H26/camp_hours),0)</f>
        <v>1921</v>
      </c>
      <c r="G26" s="1" t="n">
        <f aca="false">F26*camp_hours</f>
        <v>15368</v>
      </c>
      <c r="H26" s="1" t="n">
        <f aca="false">ROUND(prod_base*prod_growth^(A26-1)*24,0)</f>
        <v>25612</v>
      </c>
      <c r="I26" s="1" t="n">
        <f aca="false">MIN(camp_yield_share_max,D26*prod_base*prod_growth^(A26-1)*camp_rate*(1+camp_tier_bonus*E26)*camp_hours/H26)</f>
        <v>0.6</v>
      </c>
      <c r="J26" s="1" t="n">
        <f aca="false">'Askar iqtisodi'!E44</f>
        <v>44</v>
      </c>
      <c r="K26" s="1" t="str">
        <f aca="false">IF(A26&lt;pack_unlock_level,"Lager ochilmagan",IF(D26*prod_base*prod_growth^(A26-1)*camp_rate*(1+camp_tier_bonus*E26)*camp_hours/H26&gt;camp_yield_share_max,"Tavan: xom ulush "&amp;TEXT(D26*prod_base*prod_growth^(A26-1)*camp_rate*(1+camp_tier_bonus*E26)*camp_hours/H26,"0%")&amp;" → "&amp;TEXT(camp_yield_share_max,"0%"),"Muvozanatli"))</f>
        <v>Tavan: xom ulush 462% → 60%</v>
      </c>
    </row>
    <row r="27" customFormat="false" ht="15" hidden="false" customHeight="false" outlineLevel="0" collapsed="false">
      <c r="A27" s="1" t="n">
        <v>22</v>
      </c>
      <c r="B27" s="1" t="str">
        <f aca="false">Darajalar!B27</f>
        <v>Amarok</v>
      </c>
      <c r="C27" s="1" t="n">
        <f aca="false">Darajalar!O27</f>
        <v>266</v>
      </c>
      <c r="D27" s="1" t="n">
        <f aca="false">MAX(1,ROUND(C27*camp_send_share,0))</f>
        <v>133</v>
      </c>
      <c r="E27" s="1" t="n">
        <f aca="false">'Askar iqtisodi'!G45</f>
        <v>5</v>
      </c>
      <c r="F27" s="1" t="n">
        <f aca="false">ROUND(MIN(D27*prod_base*prod_growth^(A27-1)*camp_rate*(1+camp_tier_bonus*E27),camp_yield_share_max*H27/camp_hours),0)</f>
        <v>2343</v>
      </c>
      <c r="G27" s="1" t="n">
        <f aca="false">F27*camp_hours</f>
        <v>18744</v>
      </c>
      <c r="H27" s="1" t="n">
        <f aca="false">ROUND(prod_base*prod_growth^(A27-1)*24,0)</f>
        <v>31246</v>
      </c>
      <c r="I27" s="1" t="n">
        <f aca="false">MIN(camp_yield_share_max,D27*prod_base*prod_growth^(A27-1)*camp_rate*(1+camp_tier_bonus*E27)*camp_hours/H27)</f>
        <v>0.6</v>
      </c>
      <c r="J27" s="1" t="n">
        <f aca="false">'Askar iqtisodi'!E45</f>
        <v>53</v>
      </c>
      <c r="K27" s="1" t="str">
        <f aca="false">IF(A27&lt;pack_unlock_level,"Lager ochilmagan",IF(D27*prod_base*prod_growth^(A27-1)*camp_rate*(1+camp_tier_bonus*E27)*camp_hours/H27&gt;camp_yield_share_max,"Tavan: xom ulush "&amp;TEXT(D27*prod_base*prod_growth^(A27-1)*camp_rate*(1+camp_tier_bonus*E27)*camp_hours/H27,"0%")&amp;" → "&amp;TEXT(camp_yield_share_max,"0%"),"Muvozanatli"))</f>
        <v>Tavan: xom ulush 554% → 60%</v>
      </c>
    </row>
    <row r="28" customFormat="false" ht="15" hidden="false" customHeight="false" outlineLevel="0" collapsed="false">
      <c r="A28" s="1" t="n">
        <v>23</v>
      </c>
      <c r="B28" s="1" t="str">
        <f aca="false">Darajalar!B28</f>
        <v>Geri va Freki</v>
      </c>
      <c r="C28" s="1" t="n">
        <f aca="false">Darajalar!O28</f>
        <v>319</v>
      </c>
      <c r="D28" s="1" t="n">
        <f aca="false">MAX(1,ROUND(C28*camp_send_share,0))</f>
        <v>160</v>
      </c>
      <c r="E28" s="1" t="n">
        <f aca="false">'Askar iqtisodi'!G46</f>
        <v>5</v>
      </c>
      <c r="F28" s="1" t="n">
        <f aca="false">ROUND(MIN(D28*prod_base*prod_growth^(A28-1)*camp_rate*(1+camp_tier_bonus*E28),camp_yield_share_max*H28/camp_hours),0)</f>
        <v>2859</v>
      </c>
      <c r="G28" s="1" t="n">
        <f aca="false">F28*camp_hours</f>
        <v>22872</v>
      </c>
      <c r="H28" s="1" t="n">
        <f aca="false">ROUND(prod_base*prod_growth^(A28-1)*24,0)</f>
        <v>38120</v>
      </c>
      <c r="I28" s="1" t="n">
        <f aca="false">MIN(camp_yield_share_max,D28*prod_base*prod_growth^(A28-1)*camp_rate*(1+camp_tier_bonus*E28)*camp_hours/H28)</f>
        <v>0.6</v>
      </c>
      <c r="J28" s="1" t="n">
        <f aca="false">'Askar iqtisodi'!E46</f>
        <v>64</v>
      </c>
      <c r="K28" s="1" t="str">
        <f aca="false">IF(A28&lt;pack_unlock_level,"Lager ochilmagan",IF(D28*prod_base*prod_growth^(A28-1)*camp_rate*(1+camp_tier_bonus*E28)*camp_hours/H28&gt;camp_yield_share_max,"Tavan: xom ulush "&amp;TEXT(D28*prod_base*prod_growth^(A28-1)*camp_rate*(1+camp_tier_bonus*E28)*camp_hours/H28,"0%")&amp;" → "&amp;TEXT(camp_yield_share_max,"0%"),"Muvozanatli"))</f>
        <v>Tavan: xom ulush 667% → 60%</v>
      </c>
    </row>
    <row r="29" customFormat="false" ht="15" hidden="false" customHeight="false" outlineLevel="0" collapsed="false">
      <c r="A29" s="1" t="n">
        <v>24</v>
      </c>
      <c r="B29" s="1" t="str">
        <f aca="false">Darajalar!B29</f>
        <v>Fenrir</v>
      </c>
      <c r="C29" s="1" t="n">
        <f aca="false">Darajalar!O29</f>
        <v>383</v>
      </c>
      <c r="D29" s="1" t="n">
        <f aca="false">MAX(1,ROUND(C29*camp_send_share,0))</f>
        <v>192</v>
      </c>
      <c r="E29" s="1" t="n">
        <f aca="false">'Askar iqtisodi'!G47</f>
        <v>6</v>
      </c>
      <c r="F29" s="1" t="n">
        <f aca="false">ROUND(MIN(D29*prod_base*prod_growth^(A29-1)*camp_rate*(1+camp_tier_bonus*E29),camp_yield_share_max*H29/camp_hours),0)</f>
        <v>3488</v>
      </c>
      <c r="G29" s="1" t="n">
        <f aca="false">F29*camp_hours</f>
        <v>27904</v>
      </c>
      <c r="H29" s="1" t="n">
        <f aca="false">ROUND(prod_base*prod_growth^(A29-1)*24,0)</f>
        <v>46507</v>
      </c>
      <c r="I29" s="1" t="n">
        <f aca="false">MIN(camp_yield_share_max,D29*prod_base*prod_growth^(A29-1)*camp_rate*(1+camp_tier_bonus*E29)*camp_hours/H29)</f>
        <v>0.6</v>
      </c>
      <c r="J29" s="1" t="n">
        <f aca="false">'Askar iqtisodi'!E47</f>
        <v>77</v>
      </c>
      <c r="K29" s="1" t="str">
        <f aca="false">IF(A29&lt;pack_unlock_level,"Lager ochilmagan",IF(D29*prod_base*prod_growth^(A29-1)*camp_rate*(1+camp_tier_bonus*E29)*camp_hours/H29&gt;camp_yield_share_max,"Tavan: xom ulush "&amp;TEXT(D29*prod_base*prod_growth^(A29-1)*camp_rate*(1+camp_tier_bonus*E29)*camp_hours/H29,"0%")&amp;" → "&amp;TEXT(camp_yield_share_max,"0%"),"Muvozanatli"))</f>
        <v>Tavan: xom ulush 832% → 60%</v>
      </c>
    </row>
    <row r="30" customFormat="false" ht="15" hidden="false" customHeight="false" outlineLevel="0" collapsed="false">
      <c r="A30" s="1" t="n">
        <v>25</v>
      </c>
      <c r="B30" s="1" t="str">
        <f aca="false">Darajalar!B30</f>
        <v>Koʻk Boʻri</v>
      </c>
      <c r="C30" s="1" t="n">
        <f aca="false">Darajalar!O30</f>
        <v>460</v>
      </c>
      <c r="D30" s="1" t="n">
        <f aca="false">MAX(1,ROUND(C30*camp_send_share,0))</f>
        <v>230</v>
      </c>
      <c r="E30" s="1" t="n">
        <f aca="false">'Askar iqtisodi'!G48</f>
        <v>6</v>
      </c>
      <c r="F30" s="1" t="n">
        <f aca="false">ROUND(MIN(D30*prod_base*prod_growth^(A30-1)*camp_rate*(1+camp_tier_bonus*E30),camp_yield_share_max*H30/camp_hours),0)</f>
        <v>4255</v>
      </c>
      <c r="G30" s="1" t="n">
        <f aca="false">F30*camp_hours</f>
        <v>34040</v>
      </c>
      <c r="H30" s="1" t="n">
        <f aca="false">ROUND(prod_base*prod_growth^(A30-1)*24,0)</f>
        <v>56738</v>
      </c>
      <c r="I30" s="1" t="n">
        <f aca="false">MIN(camp_yield_share_max,D30*prod_base*prod_growth^(A30-1)*camp_rate*(1+camp_tier_bonus*E30)*camp_hours/H30)</f>
        <v>0.6</v>
      </c>
      <c r="J30" s="1" t="n">
        <f aca="false">'Askar iqtisodi'!E48</f>
        <v>92</v>
      </c>
      <c r="K30" s="1" t="str">
        <f aca="false">IF(A30&lt;pack_unlock_level,"Lager ochilmagan",IF(D30*prod_base*prod_growth^(A30-1)*camp_rate*(1+camp_tier_bonus*E30)*camp_hours/H30&gt;camp_yield_share_max,"Tavan: xom ulush "&amp;TEXT(D30*prod_base*prod_growth^(A30-1)*camp_rate*(1+camp_tier_bonus*E30)*camp_hours/H30,"0%")&amp;" → "&amp;TEXT(camp_yield_share_max,"0%"),"Muvozanatli"))</f>
        <v>Tavan: xom ulush 997% → 60%</v>
      </c>
    </row>
    <row r="31" customFormat="false" ht="15" hidden="false" customHeight="false" outlineLevel="0" collapsed="false">
      <c r="A31" s="1" t="s">
        <v>363</v>
      </c>
      <c r="B31" s="1"/>
      <c r="C31" s="1"/>
      <c r="D31" s="1" t="s">
        <v>364</v>
      </c>
    </row>
    <row r="32" customFormat="false" ht="15" hidden="false" customHeight="false" outlineLevel="0" collapsed="false">
      <c r="A32" s="1" t="s">
        <v>365</v>
      </c>
      <c r="B32" s="1" t="s">
        <v>366</v>
      </c>
      <c r="C32" s="1" t="s">
        <v>367</v>
      </c>
      <c r="D32" s="1" t="s">
        <v>368</v>
      </c>
    </row>
    <row r="33" customFormat="false" ht="15" hidden="false" customHeight="false" outlineLevel="0" collapsed="false">
      <c r="A33" s="1" t="s">
        <v>369</v>
      </c>
      <c r="B33" s="1" t="str">
        <f aca="false">"Toʻdaning eng koʻpi "&amp;TEXT(camp_send_share,"0%")&amp;" i. Ular indan chiqadi — in himoyasi shu qadar zaiflashadi"</f>
        <v>Toʻdaning eng koʻpi 50% i. Ular indan chiqadi — in himoyasi shu qadar zaiflashadi</v>
      </c>
      <c r="C33" s="1"/>
      <c r="D33" s="1" t="s">
        <v>370</v>
      </c>
      <c r="E33" s="1" t="s">
        <v>371</v>
      </c>
      <c r="F33" s="1" t="n">
        <v>8</v>
      </c>
      <c r="G33" s="1" t="s">
        <v>372</v>
      </c>
    </row>
    <row r="34" customFormat="false" ht="15" hidden="false" customHeight="false" outlineLevel="0" collapsed="false">
      <c r="A34" s="1" t="s">
        <v>373</v>
      </c>
      <c r="B34" s="1" t="str">
        <f aca="false">camp_hours&amp;" soat. Keyin toʻda avtomatik inga qaytadi"</f>
        <v>8 soat. Keyin toʻda avtomatik inga qaytadi</v>
      </c>
      <c r="C34" s="1"/>
      <c r="D34" s="1" t="s">
        <v>374</v>
      </c>
      <c r="E34" s="1" t="s">
        <v>375</v>
      </c>
      <c r="F34" s="1" t="n">
        <v>5</v>
      </c>
      <c r="G34" s="1" t="s">
        <v>376</v>
      </c>
    </row>
    <row r="35" customFormat="false" ht="15" hidden="false" customHeight="false" outlineLevel="0" collapsed="false">
      <c r="A35" s="1" t="s">
        <v>137</v>
      </c>
      <c r="B35" s="1" t="s">
        <v>377</v>
      </c>
      <c r="C35" s="1"/>
      <c r="D35" s="1" t="s">
        <v>378</v>
      </c>
      <c r="E35" s="1" t="s">
        <v>379</v>
      </c>
      <c r="F35" s="1" t="n">
        <v>4</v>
      </c>
      <c r="G35" s="1" t="s">
        <v>380</v>
      </c>
    </row>
    <row r="36" customFormat="false" ht="15" hidden="false" customHeight="false" outlineLevel="0" collapsed="false">
      <c r="A36" s="1" t="s">
        <v>381</v>
      </c>
      <c r="B36" s="1" t="s">
        <v>382</v>
      </c>
      <c r="C36" s="1"/>
      <c r="D36" s="1" t="s">
        <v>383</v>
      </c>
      <c r="E36" s="1" t="s">
        <v>384</v>
      </c>
      <c r="F36" s="1" t="n">
        <v>2</v>
      </c>
      <c r="G36" s="1" t="s">
        <v>385</v>
      </c>
    </row>
    <row r="37" customFormat="false" ht="15" hidden="false" customHeight="false" outlineLevel="0" collapsed="false">
      <c r="A37" s="1" t="s">
        <v>386</v>
      </c>
      <c r="B37" s="1" t="s">
        <v>387</v>
      </c>
      <c r="C37" s="1"/>
      <c r="D37" s="1" t="s">
        <v>388</v>
      </c>
      <c r="E37" s="1" t="s">
        <v>389</v>
      </c>
      <c r="F37" s="1" t="n">
        <v>1</v>
      </c>
      <c r="G37" s="1" t="s">
        <v>390</v>
      </c>
    </row>
    <row r="38" customFormat="false" ht="15" hidden="false" customHeight="false" outlineLevel="0" collapsed="false">
      <c r="A38" s="1" t="s">
        <v>391</v>
      </c>
      <c r="B38" s="1" t="s">
        <v>392</v>
      </c>
    </row>
    <row r="39" customFormat="false" ht="15" hidden="false" customHeight="false" outlineLevel="0" collapsed="false">
      <c r="A39" s="1" t="s">
        <v>393</v>
      </c>
      <c r="B39" s="1" t="s">
        <v>394</v>
      </c>
    </row>
    <row r="40" customFormat="false" ht="15" hidden="false" customHeight="false" outlineLevel="0" collapsed="false">
      <c r="A40" s="1"/>
      <c r="B40" s="1"/>
      <c r="C40" s="1"/>
      <c r="D40" s="1" t="s">
        <v>395</v>
      </c>
    </row>
    <row r="41" customFormat="false" ht="15" hidden="false" customHeight="false" outlineLevel="0" collapsed="false">
      <c r="A41" s="1" t="s">
        <v>396</v>
      </c>
      <c r="B41" s="1"/>
      <c r="C41" s="1"/>
      <c r="D41" s="1" t="s">
        <v>397</v>
      </c>
      <c r="E41" s="1" t="s">
        <v>398</v>
      </c>
    </row>
    <row r="42" customFormat="false" ht="15" hidden="false" customHeight="false" outlineLevel="0" collapsed="false">
      <c r="A42" s="1"/>
      <c r="B42" s="1"/>
      <c r="C42" s="1"/>
      <c r="D42" s="1" t="s">
        <v>399</v>
      </c>
      <c r="E42" s="1" t="s">
        <v>400</v>
      </c>
    </row>
    <row r="43" customFormat="false" ht="15" hidden="false" customHeight="false" outlineLevel="0" collapsed="false">
      <c r="A43" s="1"/>
      <c r="B43" s="1"/>
      <c r="C43" s="1"/>
      <c r="D43" s="1" t="s">
        <v>401</v>
      </c>
      <c r="E43" s="1" t="s">
        <v>402</v>
      </c>
    </row>
    <row r="44" customFormat="false" ht="15" hidden="false" customHeight="false" outlineLevel="0" collapsed="false">
      <c r="A44" s="1"/>
      <c r="B44" s="1"/>
      <c r="C44" s="1"/>
      <c r="D44" s="1" t="s">
        <v>403</v>
      </c>
      <c r="E44" s="1" t="s">
        <v>404</v>
      </c>
    </row>
    <row r="45" customFormat="false" ht="15" hidden="false" customHeight="false" outlineLevel="0" collapsed="false">
      <c r="A45" s="1"/>
      <c r="B45" s="1"/>
      <c r="C45" s="1"/>
      <c r="D45" s="1" t="s">
        <v>405</v>
      </c>
      <c r="E45" s="1" t="s">
        <v>406</v>
      </c>
    </row>
    <row r="46" customFormat="false" ht="15" hidden="false" customHeight="false" outlineLevel="0" collapsed="false">
      <c r="A46" s="1"/>
      <c r="B46" s="1"/>
      <c r="C46" s="1"/>
      <c r="D46" s="1" t="s">
        <v>407</v>
      </c>
      <c r="E46" s="1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3" customFormat="false" ht="15" hidden="false" customHeight="false" outlineLevel="0" collapsed="false">
      <c r="A3" s="1" t="s">
        <v>409</v>
      </c>
    </row>
    <row r="4" customFormat="false" ht="15" hidden="false" customHeight="false" outlineLevel="0" collapsed="false">
      <c r="A4" s="1" t="s">
        <v>410</v>
      </c>
    </row>
    <row r="5" customFormat="false" ht="15" hidden="false" customHeight="false" outlineLevel="0" collapsed="false">
      <c r="A5" s="1" t="s">
        <v>411</v>
      </c>
      <c r="B5" s="3" t="n">
        <v>19</v>
      </c>
    </row>
    <row r="6" customFormat="false" ht="15" hidden="false" customHeight="false" outlineLevel="0" collapsed="false">
      <c r="A6" s="1" t="s">
        <v>3</v>
      </c>
      <c r="B6" s="1" t="str">
        <f aca="false">INDEX(Darajalar!$B$6:$B$30,B5)</f>
        <v>Makkenzi vodiysi boʻrisi</v>
      </c>
    </row>
    <row r="7" customFormat="false" ht="15" hidden="false" customHeight="false" outlineLevel="0" collapsed="false">
      <c r="A7" s="1" t="s">
        <v>412</v>
      </c>
      <c r="B7" s="1" t="n">
        <f aca="false">INDEX(Darajalar!$O$6:$O$30,B5)</f>
        <v>154</v>
      </c>
    </row>
    <row r="8" customFormat="false" ht="15" hidden="false" customHeight="false" outlineLevel="0" collapsed="false">
      <c r="A8" s="1" t="s">
        <v>413</v>
      </c>
      <c r="B8" s="1" t="n">
        <f aca="false">MAX(1,MIN(6,INT(B5/tier_step_level)))</f>
        <v>4</v>
      </c>
    </row>
    <row r="9" customFormat="false" ht="15" hidden="false" customHeight="false" outlineLevel="0" collapsed="false">
      <c r="A9" s="1" t="s">
        <v>414</v>
      </c>
      <c r="B9" s="1" t="n">
        <f aca="false">IF(B5&lt;pack_unlock_level,0,ROUND(B7*share_scout,0))</f>
        <v>31</v>
      </c>
      <c r="C9" s="1" t="n">
        <f aca="false">B7-B9-D9-E9</f>
        <v>69</v>
      </c>
      <c r="D9" s="1" t="n">
        <f aca="false">IF(B5&lt;pack_unlock_level,0,ROUND(B7*share_defender,0))</f>
        <v>31</v>
      </c>
      <c r="E9" s="1" t="n">
        <f aca="false">IF(B5&lt;pack_unlock_level,1,MAX(1,ROUND(B7*share_hunter,0)))</f>
        <v>23</v>
      </c>
    </row>
    <row r="10" customFormat="false" ht="15" hidden="false" customHeight="false" outlineLevel="0" collapsed="false">
      <c r="A10" s="1" t="s">
        <v>415</v>
      </c>
    </row>
    <row r="11" customFormat="false" ht="15" hidden="false" customHeight="false" outlineLevel="0" collapsed="false">
      <c r="A11" s="1" t="s">
        <v>207</v>
      </c>
      <c r="B11" s="1" t="s">
        <v>176</v>
      </c>
      <c r="C11" s="1" t="s">
        <v>177</v>
      </c>
      <c r="D11" s="1" t="s">
        <v>178</v>
      </c>
      <c r="E11" s="1" t="s">
        <v>179</v>
      </c>
      <c r="F11" s="1" t="s">
        <v>416</v>
      </c>
      <c r="G11" s="1" t="s">
        <v>417</v>
      </c>
    </row>
    <row r="12" customFormat="false" ht="15" hidden="false" customHeight="false" outlineLevel="0" collapsed="false">
      <c r="A12" s="1" t="s">
        <v>418</v>
      </c>
      <c r="B12" s="1" t="n">
        <f aca="false">B$9-SUM(B13:B17)</f>
        <v>13</v>
      </c>
      <c r="C12" s="1" t="n">
        <f aca="false">C$9-SUM(C13:C17)</f>
        <v>27</v>
      </c>
      <c r="D12" s="1" t="n">
        <f aca="false">D$9-SUM(D13:D17)</f>
        <v>13</v>
      </c>
      <c r="E12" s="1" t="n">
        <f aca="false">E$9-SUM(E13:E17)</f>
        <v>9</v>
      </c>
      <c r="F12" s="1" t="n">
        <f aca="false">SUM(B12:E12)</f>
        <v>62</v>
      </c>
      <c r="G12" s="1" t="n">
        <f aca="false">ROUND((Rollar!$E$8*cp_w_power+Rollar!$F$8*cp_w_speed+Rollar!$G$8*cp_w_hp)*tier_coef^(1-1)*(1+alpha_bonus*$B$5),0)</f>
        <v>126</v>
      </c>
    </row>
    <row r="13" customFormat="false" ht="15" hidden="false" customHeight="false" outlineLevel="0" collapsed="false">
      <c r="A13" s="1" t="s">
        <v>419</v>
      </c>
      <c r="B13" s="1" t="n">
        <f aca="false">IF(2&gt;$B$8,0,ROUND(B$9*($B$8-2+1)/($B$8*($B$8+1)/2),0))</f>
        <v>9</v>
      </c>
      <c r="C13" s="1" t="n">
        <f aca="false">IF(2&gt;$B$8,0,ROUND(C$9*($B$8-2+1)/($B$8*($B$8+1)/2),0))</f>
        <v>21</v>
      </c>
      <c r="D13" s="1" t="n">
        <f aca="false">IF(2&gt;$B$8,0,ROUND(D$9*($B$8-2+1)/($B$8*($B$8+1)/2),0))</f>
        <v>9</v>
      </c>
      <c r="E13" s="1" t="n">
        <f aca="false">IF(2&gt;$B$8,0,ROUND(E$9*($B$8-2+1)/($B$8*($B$8+1)/2),0))</f>
        <v>7</v>
      </c>
      <c r="F13" s="1" t="n">
        <f aca="false">SUM(B13:E13)</f>
        <v>46</v>
      </c>
      <c r="G13" s="1" t="n">
        <f aca="false">ROUND((Rollar!$E$8*cp_w_power+Rollar!$F$8*cp_w_speed+Rollar!$G$8*cp_w_hp)*tier_coef^(2-1)*(1+alpha_bonus*$B$5),0)</f>
        <v>183</v>
      </c>
    </row>
    <row r="14" customFormat="false" ht="15" hidden="false" customHeight="false" outlineLevel="0" collapsed="false">
      <c r="A14" s="1" t="s">
        <v>420</v>
      </c>
      <c r="B14" s="1" t="n">
        <f aca="false">IF(3&gt;$B$8,0,ROUND(B$9*($B$8-3+1)/($B$8*($B$8+1)/2),0))</f>
        <v>6</v>
      </c>
      <c r="C14" s="1" t="n">
        <f aca="false">IF(3&gt;$B$8,0,ROUND(C$9*($B$8-3+1)/($B$8*($B$8+1)/2),0))</f>
        <v>14</v>
      </c>
      <c r="D14" s="1" t="n">
        <f aca="false">IF(3&gt;$B$8,0,ROUND(D$9*($B$8-3+1)/($B$8*($B$8+1)/2),0))</f>
        <v>6</v>
      </c>
      <c r="E14" s="1" t="n">
        <f aca="false">IF(3&gt;$B$8,0,ROUND(E$9*($B$8-3+1)/($B$8*($B$8+1)/2),0))</f>
        <v>5</v>
      </c>
      <c r="F14" s="1" t="n">
        <f aca="false">SUM(B14:E14)</f>
        <v>31</v>
      </c>
      <c r="G14" s="1" t="n">
        <f aca="false">ROUND((Rollar!$E$8*cp_w_power+Rollar!$F$8*cp_w_speed+Rollar!$G$8*cp_w_hp)*tier_coef^(3-1)*(1+alpha_bonus*$B$5),0)</f>
        <v>266</v>
      </c>
    </row>
    <row r="15" customFormat="false" ht="15" hidden="false" customHeight="false" outlineLevel="0" collapsed="false">
      <c r="A15" s="1" t="s">
        <v>421</v>
      </c>
      <c r="B15" s="1" t="n">
        <f aca="false">IF(4&gt;$B$8,0,ROUND(B$9*($B$8-4+1)/($B$8*($B$8+1)/2),0))</f>
        <v>3</v>
      </c>
      <c r="C15" s="1" t="n">
        <f aca="false">IF(4&gt;$B$8,0,ROUND(C$9*($B$8-4+1)/($B$8*($B$8+1)/2),0))</f>
        <v>7</v>
      </c>
      <c r="D15" s="1" t="n">
        <f aca="false">IF(4&gt;$B$8,0,ROUND(D$9*($B$8-4+1)/($B$8*($B$8+1)/2),0))</f>
        <v>3</v>
      </c>
      <c r="E15" s="1" t="n">
        <f aca="false">IF(4&gt;$B$8,0,ROUND(E$9*($B$8-4+1)/($B$8*($B$8+1)/2),0))</f>
        <v>2</v>
      </c>
      <c r="F15" s="1" t="n">
        <f aca="false">SUM(B15:E15)</f>
        <v>15</v>
      </c>
      <c r="G15" s="1" t="n">
        <f aca="false">ROUND((Rollar!$E$8*cp_w_power+Rollar!$F$8*cp_w_speed+Rollar!$G$8*cp_w_hp)*tier_coef^(4-1)*(1+alpha_bonus*$B$5),0)</f>
        <v>385</v>
      </c>
    </row>
    <row r="16" customFormat="false" ht="15" hidden="false" customHeight="false" outlineLevel="0" collapsed="false">
      <c r="A16" s="1" t="s">
        <v>422</v>
      </c>
      <c r="B16" s="1" t="n">
        <f aca="false">IF(5&gt;$B$8,0,ROUND(B$9*($B$8-5+1)/($B$8*($B$8+1)/2),0))</f>
        <v>0</v>
      </c>
      <c r="C16" s="1" t="n">
        <f aca="false">IF(5&gt;$B$8,0,ROUND(C$9*($B$8-5+1)/($B$8*($B$8+1)/2),0))</f>
        <v>0</v>
      </c>
      <c r="D16" s="1" t="n">
        <f aca="false">IF(5&gt;$B$8,0,ROUND(D$9*($B$8-5+1)/($B$8*($B$8+1)/2),0))</f>
        <v>0</v>
      </c>
      <c r="E16" s="1" t="n">
        <f aca="false">IF(5&gt;$B$8,0,ROUND(E$9*($B$8-5+1)/($B$8*($B$8+1)/2),0))</f>
        <v>0</v>
      </c>
      <c r="F16" s="1" t="n">
        <f aca="false">SUM(B16:E16)</f>
        <v>0</v>
      </c>
      <c r="G16" s="1" t="n">
        <f aca="false">ROUND((Rollar!$E$8*cp_w_power+Rollar!$F$8*cp_w_speed+Rollar!$G$8*cp_w_hp)*tier_coef^(5-1)*(1+alpha_bonus*$B$5),0)</f>
        <v>559</v>
      </c>
    </row>
    <row r="17" customFormat="false" ht="15" hidden="false" customHeight="false" outlineLevel="0" collapsed="false">
      <c r="A17" s="1" t="s">
        <v>423</v>
      </c>
      <c r="B17" s="1" t="n">
        <f aca="false">IF(6&gt;$B$8,0,ROUND(B$9*($B$8-6+1)/($B$8*($B$8+1)/2),0))</f>
        <v>0</v>
      </c>
      <c r="C17" s="1" t="n">
        <f aca="false">IF(6&gt;$B$8,0,ROUND(C$9*($B$8-6+1)/($B$8*($B$8+1)/2),0))</f>
        <v>0</v>
      </c>
      <c r="D17" s="1" t="n">
        <f aca="false">IF(6&gt;$B$8,0,ROUND(D$9*($B$8-6+1)/($B$8*($B$8+1)/2),0))</f>
        <v>0</v>
      </c>
      <c r="E17" s="1" t="n">
        <f aca="false">IF(6&gt;$B$8,0,ROUND(E$9*($B$8-6+1)/($B$8*($B$8+1)/2),0))</f>
        <v>0</v>
      </c>
      <c r="F17" s="1" t="n">
        <f aca="false">SUM(B17:E17)</f>
        <v>0</v>
      </c>
      <c r="G17" s="1" t="n">
        <f aca="false">ROUND((Rollar!$E$8*cp_w_power+Rollar!$F$8*cp_w_speed+Rollar!$G$8*cp_w_hp)*tier_coef^(6-1)*(1+alpha_bonus*$B$5),0)</f>
        <v>810</v>
      </c>
    </row>
    <row r="18" customFormat="false" ht="15" hidden="false" customHeight="false" outlineLevel="0" collapsed="false">
      <c r="A18" s="1" t="s">
        <v>424</v>
      </c>
      <c r="B18" s="1" t="n">
        <f aca="false">SUM(B12:B17)</f>
        <v>31</v>
      </c>
      <c r="C18" s="1" t="n">
        <f aca="false">SUM(C12:C17)</f>
        <v>69</v>
      </c>
      <c r="D18" s="1" t="n">
        <f aca="false">SUM(D12:D17)</f>
        <v>31</v>
      </c>
      <c r="E18" s="1" t="n">
        <f aca="false">SUM(E12:E17)</f>
        <v>23</v>
      </c>
      <c r="F18" s="1" t="n">
        <f aca="false">SUM(F12:F17)</f>
        <v>154</v>
      </c>
    </row>
    <row r="19" customFormat="false" ht="15" hidden="false" customHeight="false" outlineLevel="0" collapsed="false">
      <c r="A19" s="1" t="s">
        <v>425</v>
      </c>
    </row>
    <row r="20" customFormat="false" ht="15" hidden="false" customHeight="false" outlineLevel="0" collapsed="false">
      <c r="A20" s="1" t="s">
        <v>207</v>
      </c>
      <c r="B20" s="1" t="s">
        <v>176</v>
      </c>
      <c r="C20" s="1" t="s">
        <v>177</v>
      </c>
      <c r="D20" s="1" t="s">
        <v>178</v>
      </c>
      <c r="E20" s="1" t="s">
        <v>179</v>
      </c>
      <c r="F20" s="1" t="s">
        <v>426</v>
      </c>
    </row>
    <row r="21" customFormat="false" ht="15" hidden="false" customHeight="false" outlineLevel="0" collapsed="false">
      <c r="A21" s="1" t="s">
        <v>418</v>
      </c>
      <c r="B21" s="1" t="n">
        <f aca="false">ROUND(B12*(Rollar!$E$7*cp_w_power+Rollar!$F$7*cp_w_speed+Rollar!$G$7*cp_w_hp)*tier_coef^(1-1)*(1+alpha_bonus*$B$5),0)</f>
        <v>1306</v>
      </c>
      <c r="C21" s="1" t="n">
        <f aca="false">ROUND(C12*(Rollar!$E$8*cp_w_power+Rollar!$F$8*cp_w_speed+Rollar!$G$8*cp_w_hp)*tier_coef^(1-1)*(1+alpha_bonus*$B$5),0)</f>
        <v>3412</v>
      </c>
      <c r="D21" s="1" t="n">
        <f aca="false">ROUND(D12*(Rollar!$E$9*cp_w_power+Rollar!$F$9*cp_w_speed+Rollar!$G$9*cp_w_hp)*tier_coef^(1-1)*(1+alpha_bonus*$B$5),0)</f>
        <v>1653</v>
      </c>
      <c r="E21" s="1" t="n">
        <f aca="false">ROUND(E12*(Rollar!$E$10*cp_w_power+Rollar!$F$10*cp_w_speed+Rollar!$G$10*cp_w_hp)*tier_coef^(1-1)*(1+alpha_bonus*$B$5),0)</f>
        <v>862</v>
      </c>
      <c r="F21" s="1" t="n">
        <f aca="false">SUM(B21:E21)</f>
        <v>7233</v>
      </c>
    </row>
    <row r="22" customFormat="false" ht="15" hidden="false" customHeight="false" outlineLevel="0" collapsed="false">
      <c r="A22" s="1" t="s">
        <v>419</v>
      </c>
      <c r="B22" s="1" t="n">
        <f aca="false">ROUND(B13*(Rollar!$E$7*cp_w_power+Rollar!$F$7*cp_w_speed+Rollar!$G$7*cp_w_hp)*tier_coef^(2-1)*(1+alpha_bonus*$B$5),0)</f>
        <v>1311</v>
      </c>
      <c r="C22" s="1" t="n">
        <f aca="false">ROUND(C13*(Rollar!$E$8*cp_w_power+Rollar!$F$8*cp_w_speed+Rollar!$G$8*cp_w_hp)*tier_coef^(2-1)*(1+alpha_bonus*$B$5),0)</f>
        <v>3848</v>
      </c>
      <c r="D22" s="1" t="n">
        <f aca="false">ROUND(D13*(Rollar!$E$9*cp_w_power+Rollar!$F$9*cp_w_speed+Rollar!$G$9*cp_w_hp)*tier_coef^(2-1)*(1+alpha_bonus*$B$5),0)</f>
        <v>1660</v>
      </c>
      <c r="E22" s="1" t="n">
        <f aca="false">ROUND(E13*(Rollar!$E$10*cp_w_power+Rollar!$F$10*cp_w_speed+Rollar!$G$10*cp_w_hp)*tier_coef^(2-1)*(1+alpha_bonus*$B$5),0)</f>
        <v>972</v>
      </c>
      <c r="F22" s="1" t="n">
        <f aca="false">SUM(B22:E22)</f>
        <v>7791</v>
      </c>
    </row>
    <row r="23" customFormat="false" ht="15" hidden="false" customHeight="false" outlineLevel="0" collapsed="false">
      <c r="A23" s="1" t="s">
        <v>420</v>
      </c>
      <c r="B23" s="1" t="n">
        <f aca="false">ROUND(B14*(Rollar!$E$7*cp_w_power+Rollar!$F$7*cp_w_speed+Rollar!$G$7*cp_w_hp)*tier_coef^(3-1)*(1+alpha_bonus*$B$5),0)</f>
        <v>1268</v>
      </c>
      <c r="C23" s="1" t="n">
        <f aca="false">ROUND(C14*(Rollar!$E$8*cp_w_power+Rollar!$F$8*cp_w_speed+Rollar!$G$8*cp_w_hp)*tier_coef^(3-1)*(1+alpha_bonus*$B$5),0)</f>
        <v>3720</v>
      </c>
      <c r="D23" s="1" t="n">
        <f aca="false">ROUND(D14*(Rollar!$E$9*cp_w_power+Rollar!$F$9*cp_w_speed+Rollar!$G$9*cp_w_hp)*tier_coef^(3-1)*(1+alpha_bonus*$B$5),0)</f>
        <v>1604</v>
      </c>
      <c r="E23" s="1" t="n">
        <f aca="false">ROUND(E14*(Rollar!$E$10*cp_w_power+Rollar!$F$10*cp_w_speed+Rollar!$G$10*cp_w_hp)*tier_coef^(3-1)*(1+alpha_bonus*$B$5),0)</f>
        <v>1007</v>
      </c>
      <c r="F23" s="1" t="n">
        <f aca="false">SUM(B23:E23)</f>
        <v>7599</v>
      </c>
    </row>
    <row r="24" customFormat="false" ht="15" hidden="false" customHeight="false" outlineLevel="0" collapsed="false">
      <c r="A24" s="1" t="s">
        <v>421</v>
      </c>
      <c r="B24" s="1" t="n">
        <f aca="false">ROUND(B15*(Rollar!$E$7*cp_w_power+Rollar!$F$7*cp_w_speed+Rollar!$G$7*cp_w_hp)*tier_coef^(4-1)*(1+alpha_bonus*$B$5),0)</f>
        <v>919</v>
      </c>
      <c r="C24" s="1" t="n">
        <f aca="false">ROUND(C15*(Rollar!$E$8*cp_w_power+Rollar!$F$8*cp_w_speed+Rollar!$G$8*cp_w_hp)*tier_coef^(4-1)*(1+alpha_bonus*$B$5),0)</f>
        <v>2697</v>
      </c>
      <c r="D24" s="1" t="n">
        <f aca="false">ROUND(D15*(Rollar!$E$9*cp_w_power+Rollar!$F$9*cp_w_speed+Rollar!$G$9*cp_w_hp)*tier_coef^(4-1)*(1+alpha_bonus*$B$5),0)</f>
        <v>1163</v>
      </c>
      <c r="E24" s="1" t="n">
        <f aca="false">ROUND(E15*(Rollar!$E$10*cp_w_power+Rollar!$F$10*cp_w_speed+Rollar!$G$10*cp_w_hp)*tier_coef^(4-1)*(1+alpha_bonus*$B$5),0)</f>
        <v>584</v>
      </c>
      <c r="F24" s="1" t="n">
        <f aca="false">SUM(B24:E24)</f>
        <v>5363</v>
      </c>
    </row>
    <row r="25" customFormat="false" ht="15" hidden="false" customHeight="false" outlineLevel="0" collapsed="false">
      <c r="A25" s="1" t="s">
        <v>422</v>
      </c>
      <c r="B25" s="1" t="n">
        <f aca="false">ROUND(B16*(Rollar!$E$7*cp_w_power+Rollar!$F$7*cp_w_speed+Rollar!$G$7*cp_w_hp)*tier_coef^(5-1)*(1+alpha_bonus*$B$5),0)</f>
        <v>0</v>
      </c>
      <c r="C25" s="1" t="n">
        <f aca="false">ROUND(C16*(Rollar!$E$8*cp_w_power+Rollar!$F$8*cp_w_speed+Rollar!$G$8*cp_w_hp)*tier_coef^(5-1)*(1+alpha_bonus*$B$5),0)</f>
        <v>0</v>
      </c>
      <c r="D25" s="1" t="n">
        <f aca="false">ROUND(D16*(Rollar!$E$9*cp_w_power+Rollar!$F$9*cp_w_speed+Rollar!$G$9*cp_w_hp)*tier_coef^(5-1)*(1+alpha_bonus*$B$5),0)</f>
        <v>0</v>
      </c>
      <c r="E25" s="1" t="n">
        <f aca="false">ROUND(E16*(Rollar!$E$10*cp_w_power+Rollar!$F$10*cp_w_speed+Rollar!$G$10*cp_w_hp)*tier_coef^(5-1)*(1+alpha_bonus*$B$5),0)</f>
        <v>0</v>
      </c>
      <c r="F25" s="1" t="n">
        <f aca="false">SUM(B25:E25)</f>
        <v>0</v>
      </c>
    </row>
    <row r="26" customFormat="false" ht="15" hidden="false" customHeight="false" outlineLevel="0" collapsed="false">
      <c r="A26" s="1" t="s">
        <v>423</v>
      </c>
      <c r="B26" s="1" t="n">
        <f aca="false">ROUND(B17*(Rollar!$E$7*cp_w_power+Rollar!$F$7*cp_w_speed+Rollar!$G$7*cp_w_hp)*tier_coef^(6-1)*(1+alpha_bonus*$B$5),0)</f>
        <v>0</v>
      </c>
      <c r="C26" s="1" t="n">
        <f aca="false">ROUND(C17*(Rollar!$E$8*cp_w_power+Rollar!$F$8*cp_w_speed+Rollar!$G$8*cp_w_hp)*tier_coef^(6-1)*(1+alpha_bonus*$B$5),0)</f>
        <v>0</v>
      </c>
      <c r="D26" s="1" t="n">
        <f aca="false">ROUND(D17*(Rollar!$E$9*cp_w_power+Rollar!$F$9*cp_w_speed+Rollar!$G$9*cp_w_hp)*tier_coef^(6-1)*(1+alpha_bonus*$B$5),0)</f>
        <v>0</v>
      </c>
      <c r="E26" s="1" t="n">
        <f aca="false">ROUND(E17*(Rollar!$E$10*cp_w_power+Rollar!$F$10*cp_w_speed+Rollar!$G$10*cp_w_hp)*tier_coef^(6-1)*(1+alpha_bonus*$B$5),0)</f>
        <v>0</v>
      </c>
      <c r="F26" s="1" t="n">
        <f aca="false">SUM(B26:E26)</f>
        <v>0</v>
      </c>
    </row>
    <row r="27" customFormat="false" ht="15" hidden="false" customHeight="false" outlineLevel="0" collapsed="false">
      <c r="A27" s="1" t="s">
        <v>427</v>
      </c>
      <c r="B27" s="1" t="n">
        <f aca="false">SUM(B21:B26)</f>
        <v>4804</v>
      </c>
      <c r="C27" s="1" t="n">
        <f aca="false">SUM(C21:C26)</f>
        <v>13677</v>
      </c>
      <c r="D27" s="1" t="n">
        <f aca="false">SUM(D21:D26)</f>
        <v>6080</v>
      </c>
      <c r="E27" s="1" t="n">
        <f aca="false">SUM(E21:E26)</f>
        <v>3425</v>
      </c>
      <c r="F27" s="1" t="n">
        <f aca="false">SUM(F21:F26)</f>
        <v>27986</v>
      </c>
    </row>
    <row r="28" customFormat="false" ht="15" hidden="false" customHeight="false" outlineLevel="0" collapsed="false">
      <c r="A28" s="1" t="s">
        <v>428</v>
      </c>
    </row>
    <row r="29" customFormat="false" ht="15" hidden="false" customHeight="false" outlineLevel="0" collapsed="false">
      <c r="A29" s="1" t="s">
        <v>190</v>
      </c>
      <c r="B29" s="1" t="s">
        <v>429</v>
      </c>
      <c r="C29" s="1" t="s">
        <v>149</v>
      </c>
      <c r="D29" s="1" t="s">
        <v>430</v>
      </c>
      <c r="E29" s="1" t="s">
        <v>431</v>
      </c>
      <c r="F29" s="1" t="s">
        <v>432</v>
      </c>
      <c r="G29" s="1" t="s">
        <v>239</v>
      </c>
    </row>
    <row r="30" customFormat="false" ht="15" hidden="false" customHeight="false" outlineLevel="0" collapsed="false">
      <c r="A30" s="1" t="s">
        <v>176</v>
      </c>
      <c r="B30" s="1" t="n">
        <f aca="false">$B$5</f>
        <v>19</v>
      </c>
      <c r="C30" s="1" t="n">
        <f aca="false">ROUND(role_cap_base*role_cap_growth^(B30-1),0)</f>
        <v>160</v>
      </c>
      <c r="D30" s="1" t="n">
        <f aca="false">B9</f>
        <v>31</v>
      </c>
      <c r="E30" s="1" t="n">
        <f aca="false">D30/C30</f>
        <v>0.19375</v>
      </c>
      <c r="F30" s="1" t="n">
        <f aca="false">MIN(role_cap_penalty_max,MAX(1,E30^role_cap_penalty_exp))</f>
        <v>1</v>
      </c>
      <c r="G30" s="1" t="str">
        <f aca="false">IF(D30&lt;=C30,"Sigʻim yetarli","⚠️ Sigʻimdan oshdi — mashq sekinlashadi")</f>
        <v>Sigʻim yetarli</v>
      </c>
    </row>
    <row r="31" customFormat="false" ht="15" hidden="false" customHeight="false" outlineLevel="0" collapsed="false">
      <c r="A31" s="1" t="s">
        <v>177</v>
      </c>
      <c r="B31" s="1" t="n">
        <f aca="false">$B$5</f>
        <v>19</v>
      </c>
      <c r="C31" s="1" t="n">
        <f aca="false">ROUND(role_cap_base*role_cap_growth^(B31-1),0)</f>
        <v>160</v>
      </c>
      <c r="D31" s="1" t="n">
        <f aca="false">C9</f>
        <v>69</v>
      </c>
      <c r="E31" s="1" t="n">
        <f aca="false">D31/C31</f>
        <v>0.43125</v>
      </c>
      <c r="F31" s="1" t="n">
        <f aca="false">MIN(role_cap_penalty_max,MAX(1,E31^role_cap_penalty_exp))</f>
        <v>1</v>
      </c>
      <c r="G31" s="1" t="str">
        <f aca="false">IF(D31&lt;=C31,"Sigʻim yetarli","⚠️ Sigʻimdan oshdi — mashq sekinlashadi")</f>
        <v>Sigʻim yetarli</v>
      </c>
    </row>
    <row r="32" customFormat="false" ht="15" hidden="false" customHeight="false" outlineLevel="0" collapsed="false">
      <c r="A32" s="1" t="s">
        <v>178</v>
      </c>
      <c r="B32" s="1" t="n">
        <f aca="false">$B$5</f>
        <v>19</v>
      </c>
      <c r="C32" s="1" t="n">
        <f aca="false">ROUND(role_cap_base*role_cap_growth^(B32-1),0)</f>
        <v>160</v>
      </c>
      <c r="D32" s="1" t="n">
        <f aca="false">D9</f>
        <v>31</v>
      </c>
      <c r="E32" s="1" t="n">
        <f aca="false">D32/C32</f>
        <v>0.19375</v>
      </c>
      <c r="F32" s="1" t="n">
        <f aca="false">MIN(role_cap_penalty_max,MAX(1,E32^role_cap_penalty_exp))</f>
        <v>1</v>
      </c>
      <c r="G32" s="1" t="str">
        <f aca="false">IF(D32&lt;=C32,"Sigʻim yetarli","⚠️ Sigʻimdan oshdi — mashq sekinlashadi")</f>
        <v>Sigʻim yetarli</v>
      </c>
    </row>
    <row r="33" customFormat="false" ht="15" hidden="false" customHeight="false" outlineLevel="0" collapsed="false">
      <c r="A33" s="1" t="s">
        <v>179</v>
      </c>
      <c r="B33" s="1" t="n">
        <f aca="false">$B$5</f>
        <v>19</v>
      </c>
      <c r="C33" s="1" t="n">
        <f aca="false">ROUND(role_cap_base*role_cap_growth^(B33-1),0)</f>
        <v>160</v>
      </c>
      <c r="D33" s="1" t="n">
        <f aca="false">E9</f>
        <v>23</v>
      </c>
      <c r="E33" s="1" t="n">
        <f aca="false">D33/C33</f>
        <v>0.14375</v>
      </c>
      <c r="F33" s="1" t="n">
        <f aca="false">MIN(role_cap_penalty_max,MAX(1,E33^role_cap_penalty_exp))</f>
        <v>1</v>
      </c>
      <c r="G33" s="1" t="str">
        <f aca="false">IF(D33&lt;=C33,"Sigʻim yetarli","⚠️ Sigʻimdan oshdi — mashq sekinlashadi")</f>
        <v>Sigʻim yetarli</v>
      </c>
    </row>
    <row r="34" customFormat="false" ht="15" hidden="false" customHeight="false" outlineLevel="0" collapsed="false">
      <c r="A34" s="1" t="s">
        <v>433</v>
      </c>
    </row>
    <row r="35" customFormat="false" ht="15" hidden="false" customHeight="false" outlineLevel="0" collapsed="false">
      <c r="A35" s="1" t="s">
        <v>207</v>
      </c>
      <c r="B35" s="1" t="s">
        <v>176</v>
      </c>
      <c r="C35" s="1" t="s">
        <v>177</v>
      </c>
      <c r="D35" s="1" t="s">
        <v>178</v>
      </c>
      <c r="E35" s="1" t="s">
        <v>179</v>
      </c>
    </row>
    <row r="36" customFormat="false" ht="15" hidden="false" customHeight="false" outlineLevel="0" collapsed="false">
      <c r="A36" s="1" t="s">
        <v>418</v>
      </c>
      <c r="B36" s="1" t="n">
        <f aca="false">ROUND(Rollar!$H$13*MIN(train_coef_max,$F$30*MAX(occupancy_min,($F$18/$B$7/occupancy_normal)^occupancy_exp))/((1+train_speed_per_level*($B$30-1))*(1+den_speed_coef*($B$5-1))),1)</f>
        <v>4.9</v>
      </c>
      <c r="C36" s="1" t="n">
        <f aca="false">ROUND(Rollar!$H$13*MIN(train_coef_max,$F$31*MAX(occupancy_min,($F$18/$B$7/occupancy_normal)^occupancy_exp))/((1+train_speed_per_level*($B$31-1))*(1+den_speed_coef*($B$5-1))),1)</f>
        <v>4.9</v>
      </c>
      <c r="D36" s="1" t="n">
        <f aca="false">ROUND(Rollar!$H$13*MIN(train_coef_max,$F$32*MAX(occupancy_min,($F$18/$B$7/occupancy_normal)^occupancy_exp))/((1+train_speed_per_level*($B$32-1))*(1+den_speed_coef*($B$5-1))),1)</f>
        <v>4.9</v>
      </c>
      <c r="E36" s="1" t="n">
        <f aca="false">ROUND(Rollar!$H$13*MIN(train_coef_max,$F$33*MAX(occupancy_min,($F$18/$B$7/occupancy_normal)^occupancy_exp))/((1+train_speed_per_level*($B$33-1))*(1+den_speed_coef*($B$5-1))),1)</f>
        <v>4.9</v>
      </c>
    </row>
    <row r="37" customFormat="false" ht="15" hidden="false" customHeight="false" outlineLevel="0" collapsed="false">
      <c r="A37" s="1" t="s">
        <v>419</v>
      </c>
      <c r="B37" s="1" t="n">
        <f aca="false">ROUND(Rollar!$H$14*MIN(train_coef_max,$F$30*MAX(occupancy_min,($F$18/$B$7/occupancy_normal)^occupancy_exp))/((1+train_speed_per_level*($B$30-1))*(1+den_speed_coef*($B$5-1))),1)</f>
        <v>7.2</v>
      </c>
      <c r="C37" s="1" t="n">
        <f aca="false">ROUND(Rollar!$H$14*MIN(train_coef_max,$F$31*MAX(occupancy_min,($F$18/$B$7/occupancy_normal)^occupancy_exp))/((1+train_speed_per_level*($B$31-1))*(1+den_speed_coef*($B$5-1))),1)</f>
        <v>7.2</v>
      </c>
      <c r="D37" s="1" t="n">
        <f aca="false">ROUND(Rollar!$H$14*MIN(train_coef_max,$F$32*MAX(occupancy_min,($F$18/$B$7/occupancy_normal)^occupancy_exp))/((1+train_speed_per_level*($B$32-1))*(1+den_speed_coef*($B$5-1))),1)</f>
        <v>7.2</v>
      </c>
      <c r="E37" s="1" t="n">
        <f aca="false">ROUND(Rollar!$H$14*MIN(train_coef_max,$F$33*MAX(occupancy_min,($F$18/$B$7/occupancy_normal)^occupancy_exp))/((1+train_speed_per_level*($B$33-1))*(1+den_speed_coef*($B$5-1))),1)</f>
        <v>7.2</v>
      </c>
    </row>
    <row r="38" customFormat="false" ht="15" hidden="false" customHeight="false" outlineLevel="0" collapsed="false">
      <c r="A38" s="1" t="s">
        <v>420</v>
      </c>
      <c r="B38" s="1" t="n">
        <f aca="false">ROUND(Rollar!$H$15*MIN(train_coef_max,$F$30*MAX(occupancy_min,($F$18/$B$7/occupancy_normal)^occupancy_exp))/((1+train_speed_per_level*($B$30-1))*(1+den_speed_coef*($B$5-1))),1)</f>
        <v>10.4</v>
      </c>
      <c r="C38" s="1" t="n">
        <f aca="false">ROUND(Rollar!$H$15*MIN(train_coef_max,$F$31*MAX(occupancy_min,($F$18/$B$7/occupancy_normal)^occupancy_exp))/((1+train_speed_per_level*($B$31-1))*(1+den_speed_coef*($B$5-1))),1)</f>
        <v>10.4</v>
      </c>
      <c r="D38" s="1" t="n">
        <f aca="false">ROUND(Rollar!$H$15*MIN(train_coef_max,$F$32*MAX(occupancy_min,($F$18/$B$7/occupancy_normal)^occupancy_exp))/((1+train_speed_per_level*($B$32-1))*(1+den_speed_coef*($B$5-1))),1)</f>
        <v>10.4</v>
      </c>
      <c r="E38" s="1" t="n">
        <f aca="false">ROUND(Rollar!$H$15*MIN(train_coef_max,$F$33*MAX(occupancy_min,($F$18/$B$7/occupancy_normal)^occupancy_exp))/((1+train_speed_per_level*($B$33-1))*(1+den_speed_coef*($B$5-1))),1)</f>
        <v>10.4</v>
      </c>
    </row>
    <row r="39" customFormat="false" ht="15" hidden="false" customHeight="false" outlineLevel="0" collapsed="false">
      <c r="A39" s="1" t="s">
        <v>421</v>
      </c>
      <c r="B39" s="1" t="n">
        <f aca="false">ROUND(Rollar!$H$16*MIN(train_coef_max,$F$30*MAX(occupancy_min,($F$18/$B$7/occupancy_normal)^occupancy_exp))/((1+train_speed_per_level*($B$30-1))*(1+den_speed_coef*($B$5-1))),1)</f>
        <v>15.1</v>
      </c>
      <c r="C39" s="1" t="n">
        <f aca="false">ROUND(Rollar!$H$16*MIN(train_coef_max,$F$31*MAX(occupancy_min,($F$18/$B$7/occupancy_normal)^occupancy_exp))/((1+train_speed_per_level*($B$31-1))*(1+den_speed_coef*($B$5-1))),1)</f>
        <v>15.1</v>
      </c>
      <c r="D39" s="1" t="n">
        <f aca="false">ROUND(Rollar!$H$16*MIN(train_coef_max,$F$32*MAX(occupancy_min,($F$18/$B$7/occupancy_normal)^occupancy_exp))/((1+train_speed_per_level*($B$32-1))*(1+den_speed_coef*($B$5-1))),1)</f>
        <v>15.1</v>
      </c>
      <c r="E39" s="1" t="n">
        <f aca="false">ROUND(Rollar!$H$16*MIN(train_coef_max,$F$33*MAX(occupancy_min,($F$18/$B$7/occupancy_normal)^occupancy_exp))/((1+train_speed_per_level*($B$33-1))*(1+den_speed_coef*($B$5-1))),1)</f>
        <v>15.1</v>
      </c>
    </row>
    <row r="40" customFormat="false" ht="15" hidden="false" customHeight="false" outlineLevel="0" collapsed="false">
      <c r="A40" s="1" t="s">
        <v>422</v>
      </c>
      <c r="B40" s="1" t="n">
        <f aca="false">ROUND(Rollar!$H$17*MIN(train_coef_max,$F$30*MAX(occupancy_min,($F$18/$B$7/occupancy_normal)^occupancy_exp))/((1+train_speed_per_level*($B$30-1))*(1+den_speed_coef*($B$5-1))),1)</f>
        <v>22</v>
      </c>
      <c r="C40" s="1" t="n">
        <f aca="false">ROUND(Rollar!$H$17*MIN(train_coef_max,$F$31*MAX(occupancy_min,($F$18/$B$7/occupancy_normal)^occupancy_exp))/((1+train_speed_per_level*($B$31-1))*(1+den_speed_coef*($B$5-1))),1)</f>
        <v>22</v>
      </c>
      <c r="D40" s="1" t="n">
        <f aca="false">ROUND(Rollar!$H$17*MIN(train_coef_max,$F$32*MAX(occupancy_min,($F$18/$B$7/occupancy_normal)^occupancy_exp))/((1+train_speed_per_level*($B$32-1))*(1+den_speed_coef*($B$5-1))),1)</f>
        <v>22</v>
      </c>
      <c r="E40" s="1" t="n">
        <f aca="false">ROUND(Rollar!$H$17*MIN(train_coef_max,$F$33*MAX(occupancy_min,($F$18/$B$7/occupancy_normal)^occupancy_exp))/((1+train_speed_per_level*($B$33-1))*(1+den_speed_coef*($B$5-1))),1)</f>
        <v>22</v>
      </c>
    </row>
    <row r="41" customFormat="false" ht="15" hidden="false" customHeight="false" outlineLevel="0" collapsed="false">
      <c r="A41" s="1" t="s">
        <v>423</v>
      </c>
      <c r="B41" s="1" t="n">
        <f aca="false">ROUND(Rollar!$H$18*MIN(train_coef_max,$F$30*MAX(occupancy_min,($F$18/$B$7/occupancy_normal)^occupancy_exp))/((1+train_speed_per_level*($B$30-1))*(1+den_speed_coef*($B$5-1))),1)</f>
        <v>31.8</v>
      </c>
      <c r="C41" s="1" t="n">
        <f aca="false">ROUND(Rollar!$H$18*MIN(train_coef_max,$F$31*MAX(occupancy_min,($F$18/$B$7/occupancy_normal)^occupancy_exp))/((1+train_speed_per_level*($B$31-1))*(1+den_speed_coef*($B$5-1))),1)</f>
        <v>31.8</v>
      </c>
      <c r="D41" s="1" t="n">
        <f aca="false">ROUND(Rollar!$H$18*MIN(train_coef_max,$F$32*MAX(occupancy_min,($F$18/$B$7/occupancy_normal)^occupancy_exp))/((1+train_speed_per_level*($B$32-1))*(1+den_speed_coef*($B$5-1))),1)</f>
        <v>31.8</v>
      </c>
      <c r="E41" s="1" t="n">
        <f aca="false">ROUND(Rollar!$H$18*MIN(train_coef_max,$F$33*MAX(occupancy_min,($F$18/$B$7/occupancy_normal)^occupancy_exp))/((1+train_speed_per_level*($B$33-1))*(1+den_speed_coef*($B$5-1))),1)</f>
        <v>31.8</v>
      </c>
    </row>
    <row r="42" customFormat="false" ht="15" hidden="false" customHeight="false" outlineLevel="0" collapsed="false">
      <c r="A42" s="1" t="s">
        <v>434</v>
      </c>
    </row>
    <row r="43" customFormat="false" ht="15" hidden="false" customHeight="false" outlineLevel="0" collapsed="false">
      <c r="A43" s="1" t="s">
        <v>435</v>
      </c>
    </row>
    <row r="44" customFormat="false" ht="15" hidden="false" customHeight="false" outlineLevel="0" collapsed="false">
      <c r="A44" s="1" t="s">
        <v>436</v>
      </c>
    </row>
    <row r="45" customFormat="false" ht="15" hidden="false" customHeight="false" outlineLevel="0" collapsed="false">
      <c r="A45" s="1" t="s">
        <v>437</v>
      </c>
    </row>
    <row r="46" customFormat="false" ht="15" hidden="false" customHeight="false" outlineLevel="0" collapsed="false">
      <c r="A46" s="1" t="s">
        <v>438</v>
      </c>
    </row>
    <row r="47" customFormat="false" ht="15" hidden="false" customHeight="false" outlineLevel="0" collapsed="false">
      <c r="A47" s="1" t="s">
        <v>439</v>
      </c>
    </row>
    <row r="48" customFormat="false" ht="15" hidden="false" customHeight="false" outlineLevel="0" collapsed="false">
      <c r="A48" s="1" t="s">
        <v>440</v>
      </c>
    </row>
    <row r="49" customFormat="false" ht="15" hidden="false" customHeight="false" outlineLevel="0" collapsed="false">
      <c r="A49" s="1" t="s">
        <v>441</v>
      </c>
    </row>
    <row r="50" customFormat="false" ht="15" hidden="false" customHeight="false" outlineLevel="0" collapsed="false">
      <c r="A50" s="1" t="s">
        <v>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3" customFormat="false" ht="15" hidden="false" customHeight="false" outlineLevel="0" collapsed="false">
      <c r="A3" s="1" t="s">
        <v>443</v>
      </c>
    </row>
    <row r="4" customFormat="false" ht="15" hidden="false" customHeight="false" outlineLevel="0" collapsed="false">
      <c r="A4" s="1" t="s">
        <v>444</v>
      </c>
    </row>
    <row r="5" customFormat="false" ht="15" hidden="false" customHeight="false" outlineLevel="0" collapsed="false">
      <c r="A5" s="2" t="s">
        <v>2</v>
      </c>
      <c r="B5" s="2" t="s">
        <v>445</v>
      </c>
      <c r="C5" s="2" t="s">
        <v>446</v>
      </c>
      <c r="D5" s="2" t="s">
        <v>447</v>
      </c>
      <c r="E5" s="2" t="s">
        <v>448</v>
      </c>
      <c r="F5" s="2" t="s">
        <v>449</v>
      </c>
      <c r="G5" s="2" t="s">
        <v>450</v>
      </c>
      <c r="H5" s="2" t="s">
        <v>451</v>
      </c>
      <c r="I5" s="2" t="s">
        <v>452</v>
      </c>
      <c r="J5" s="2" t="s">
        <v>453</v>
      </c>
      <c r="K5" s="2" t="s">
        <v>454</v>
      </c>
      <c r="L5" s="2" t="s">
        <v>455</v>
      </c>
      <c r="M5" s="2" t="s">
        <v>456</v>
      </c>
      <c r="N5" s="2" t="s">
        <v>457</v>
      </c>
      <c r="O5" s="2" t="s">
        <v>458</v>
      </c>
      <c r="P5" s="2" t="s">
        <v>459</v>
      </c>
      <c r="Q5" s="2" t="s">
        <v>460</v>
      </c>
    </row>
    <row r="6" customFormat="false" ht="15" hidden="false" customHeight="false" outlineLevel="0" collapsed="false">
      <c r="A6" s="1" t="n">
        <v>1</v>
      </c>
      <c r="B6" s="1" t="n">
        <f aca="false">Binolar!F7+Binolar!G7</f>
        <v>0</v>
      </c>
      <c r="C6" s="1" t="n">
        <f aca="false">Binolar!H7</f>
        <v>0</v>
      </c>
      <c r="D6" s="1" t="n">
        <f aca="false">Binolar!F34+Binolar!G34+Binolar!H34</f>
        <v>0</v>
      </c>
      <c r="E6" s="1" t="n">
        <f aca="false">Binolar!I34</f>
        <v>0</v>
      </c>
      <c r="F6" s="1" t="n">
        <f aca="false">Binolar!E61+Binolar!F61+Binolar!G61</f>
        <v>0</v>
      </c>
      <c r="G6" s="1" t="n">
        <f aca="false">Binolar!H61</f>
        <v>0</v>
      </c>
      <c r="H6" s="1" t="n">
        <f aca="false">Binolar!E88+Binolar!F88+Binolar!G88</f>
        <v>0</v>
      </c>
      <c r="I6" s="1" t="n">
        <f aca="false">Binolar!H88</f>
        <v>0</v>
      </c>
      <c r="J6" s="1" t="n">
        <f aca="false">Binolar!E115+Binolar!F115+Binolar!G115</f>
        <v>0</v>
      </c>
      <c r="K6" s="1" t="n">
        <f aca="false">Binolar!H115</f>
        <v>0</v>
      </c>
      <c r="L6" s="1" t="n">
        <f aca="false">Binolar!E142+Binolar!F142+Binolar!G142</f>
        <v>0</v>
      </c>
      <c r="M6" s="1" t="n">
        <f aca="false">Binolar!H142</f>
        <v>0</v>
      </c>
      <c r="N6" s="1" t="n">
        <f aca="false">Binolar!D169+Binolar!E169+Binolar!F169</f>
        <v>0</v>
      </c>
      <c r="O6" s="1" t="n">
        <f aca="false">Binolar!G169</f>
        <v>0</v>
      </c>
      <c r="P6" s="1" t="n">
        <f aca="false">Binolar!E196+Binolar!F196</f>
        <v>0</v>
      </c>
      <c r="Q6" s="1" t="n">
        <f aca="false">Binolar!G196</f>
        <v>0</v>
      </c>
    </row>
    <row r="7" customFormat="false" ht="15" hidden="false" customHeight="false" outlineLevel="0" collapsed="false">
      <c r="A7" s="1" t="n">
        <v>2</v>
      </c>
      <c r="B7" s="1" t="n">
        <f aca="false">Binolar!F8+Binolar!G8</f>
        <v>64</v>
      </c>
      <c r="C7" s="1" t="n">
        <f aca="false">Binolar!H8</f>
        <v>0.1</v>
      </c>
      <c r="D7" s="1" t="n">
        <f aca="false">Binolar!F35+Binolar!G35+Binolar!H35</f>
        <v>116</v>
      </c>
      <c r="E7" s="1" t="n">
        <f aca="false">Binolar!I35</f>
        <v>0.1</v>
      </c>
      <c r="F7" s="1" t="n">
        <f aca="false">Binolar!E62+Binolar!F62+Binolar!G62</f>
        <v>84</v>
      </c>
      <c r="G7" s="1" t="n">
        <f aca="false">Binolar!H62</f>
        <v>0.1</v>
      </c>
      <c r="H7" s="1" t="n">
        <f aca="false">Binolar!E89+Binolar!F89+Binolar!G89</f>
        <v>117</v>
      </c>
      <c r="I7" s="1" t="n">
        <f aca="false">Binolar!H89</f>
        <v>0.1</v>
      </c>
      <c r="J7" s="1" t="n">
        <f aca="false">Binolar!E116+Binolar!F116+Binolar!G116</f>
        <v>101</v>
      </c>
      <c r="K7" s="1" t="n">
        <f aca="false">Binolar!H116</f>
        <v>0.1</v>
      </c>
      <c r="L7" s="1" t="n">
        <f aca="false">Binolar!E143+Binolar!F143+Binolar!G143</f>
        <v>75</v>
      </c>
      <c r="M7" s="1" t="n">
        <f aca="false">Binolar!H143</f>
        <v>0</v>
      </c>
      <c r="N7" s="1" t="n">
        <f aca="false">Binolar!D170+Binolar!E170+Binolar!F170</f>
        <v>120</v>
      </c>
      <c r="O7" s="1" t="n">
        <f aca="false">Binolar!G170</f>
        <v>0.1</v>
      </c>
      <c r="P7" s="1" t="n">
        <f aca="false">Binolar!E197+Binolar!F197</f>
        <v>96</v>
      </c>
      <c r="Q7" s="1" t="n">
        <f aca="false">Binolar!G197</f>
        <v>0.1</v>
      </c>
    </row>
    <row r="8" customFormat="false" ht="15" hidden="false" customHeight="false" outlineLevel="0" collapsed="false">
      <c r="A8" s="1" t="n">
        <v>3</v>
      </c>
      <c r="B8" s="1" t="n">
        <f aca="false">Binolar!F9+Binolar!G9</f>
        <v>83</v>
      </c>
      <c r="C8" s="1" t="n">
        <f aca="false">Binolar!H9</f>
        <v>0.1</v>
      </c>
      <c r="D8" s="1" t="n">
        <f aca="false">Binolar!F36+Binolar!G36+Binolar!H36</f>
        <v>151</v>
      </c>
      <c r="E8" s="1" t="n">
        <f aca="false">Binolar!I36</f>
        <v>0.1</v>
      </c>
      <c r="F8" s="1" t="n">
        <f aca="false">Binolar!E63+Binolar!F63+Binolar!G63</f>
        <v>109</v>
      </c>
      <c r="G8" s="1" t="n">
        <f aca="false">Binolar!H63</f>
        <v>0.1</v>
      </c>
      <c r="H8" s="1" t="n">
        <f aca="false">Binolar!E90+Binolar!F90+Binolar!G90</f>
        <v>154</v>
      </c>
      <c r="I8" s="1" t="n">
        <f aca="false">Binolar!H90</f>
        <v>0.1</v>
      </c>
      <c r="J8" s="1" t="n">
        <f aca="false">Binolar!E117+Binolar!F117+Binolar!G117</f>
        <v>131</v>
      </c>
      <c r="K8" s="1" t="n">
        <f aca="false">Binolar!H117</f>
        <v>0.1</v>
      </c>
      <c r="L8" s="1" t="n">
        <f aca="false">Binolar!E144+Binolar!F144+Binolar!G144</f>
        <v>98</v>
      </c>
      <c r="M8" s="1" t="n">
        <f aca="false">Binolar!H144</f>
        <v>0.1</v>
      </c>
      <c r="N8" s="1" t="n">
        <f aca="false">Binolar!D171+Binolar!E171+Binolar!F171</f>
        <v>156</v>
      </c>
      <c r="O8" s="1" t="n">
        <f aca="false">Binolar!G171</f>
        <v>0.1</v>
      </c>
      <c r="P8" s="1" t="n">
        <f aca="false">Binolar!E198+Binolar!F198</f>
        <v>125</v>
      </c>
      <c r="Q8" s="1" t="n">
        <f aca="false">Binolar!G198</f>
        <v>0.1</v>
      </c>
    </row>
    <row r="9" customFormat="false" ht="15" hidden="false" customHeight="false" outlineLevel="0" collapsed="false">
      <c r="A9" s="1" t="n">
        <v>4</v>
      </c>
      <c r="B9" s="1" t="n">
        <f aca="false">Binolar!F10+Binolar!G10</f>
        <v>109</v>
      </c>
      <c r="C9" s="1" t="n">
        <f aca="false">Binolar!H10</f>
        <v>0.1</v>
      </c>
      <c r="D9" s="1" t="n">
        <f aca="false">Binolar!F37+Binolar!G37+Binolar!H37</f>
        <v>196</v>
      </c>
      <c r="E9" s="1" t="n">
        <f aca="false">Binolar!I37</f>
        <v>0.1</v>
      </c>
      <c r="F9" s="1" t="n">
        <f aca="false">Binolar!E64+Binolar!F64+Binolar!G64</f>
        <v>142</v>
      </c>
      <c r="G9" s="1" t="n">
        <f aca="false">Binolar!H64</f>
        <v>0.1</v>
      </c>
      <c r="H9" s="1" t="n">
        <f aca="false">Binolar!E91+Binolar!F91+Binolar!G91</f>
        <v>199</v>
      </c>
      <c r="I9" s="1" t="n">
        <f aca="false">Binolar!H91</f>
        <v>0.1</v>
      </c>
      <c r="J9" s="1" t="n">
        <f aca="false">Binolar!E118+Binolar!F118+Binolar!G118</f>
        <v>171</v>
      </c>
      <c r="K9" s="1" t="n">
        <f aca="false">Binolar!H118</f>
        <v>0.1</v>
      </c>
      <c r="L9" s="1" t="n">
        <f aca="false">Binolar!E145+Binolar!F145+Binolar!G145</f>
        <v>128</v>
      </c>
      <c r="M9" s="1" t="n">
        <f aca="false">Binolar!H145</f>
        <v>0.1</v>
      </c>
      <c r="N9" s="1" t="n">
        <f aca="false">Binolar!D172+Binolar!E172+Binolar!F172</f>
        <v>203</v>
      </c>
      <c r="O9" s="1" t="n">
        <f aca="false">Binolar!G172</f>
        <v>0.1</v>
      </c>
      <c r="P9" s="1" t="n">
        <f aca="false">Binolar!E199+Binolar!F199</f>
        <v>162</v>
      </c>
      <c r="Q9" s="1" t="n">
        <f aca="false">Binolar!G199</f>
        <v>0.1</v>
      </c>
    </row>
    <row r="10" customFormat="false" ht="15" hidden="false" customHeight="false" outlineLevel="0" collapsed="false">
      <c r="A10" s="1" t="n">
        <v>5</v>
      </c>
      <c r="B10" s="1" t="n">
        <f aca="false">Binolar!F11+Binolar!G11</f>
        <v>246</v>
      </c>
      <c r="C10" s="1" t="n">
        <f aca="false">Binolar!H11</f>
        <v>0.2</v>
      </c>
      <c r="D10" s="1" t="n">
        <f aca="false">Binolar!F38+Binolar!G38+Binolar!H38</f>
        <v>447</v>
      </c>
      <c r="E10" s="1" t="n">
        <f aca="false">Binolar!I38</f>
        <v>0.3</v>
      </c>
      <c r="F10" s="1" t="n">
        <f aca="false">Binolar!E65+Binolar!F65+Binolar!G65</f>
        <v>322</v>
      </c>
      <c r="G10" s="1" t="n">
        <f aca="false">Binolar!H65</f>
        <v>0.2</v>
      </c>
      <c r="H10" s="1" t="n">
        <f aca="false">Binolar!E92+Binolar!F92+Binolar!G92</f>
        <v>452</v>
      </c>
      <c r="I10" s="1" t="n">
        <f aca="false">Binolar!H92</f>
        <v>0.3</v>
      </c>
      <c r="J10" s="1" t="n">
        <f aca="false">Binolar!E119+Binolar!F119+Binolar!G119</f>
        <v>387</v>
      </c>
      <c r="K10" s="1" t="n">
        <f aca="false">Binolar!H119</f>
        <v>0.3</v>
      </c>
      <c r="L10" s="1" t="n">
        <f aca="false">Binolar!E146+Binolar!F146+Binolar!G146</f>
        <v>291</v>
      </c>
      <c r="M10" s="1" t="n">
        <f aca="false">Binolar!H146</f>
        <v>0.2</v>
      </c>
      <c r="N10" s="1" t="n">
        <f aca="false">Binolar!D173+Binolar!E173+Binolar!F173</f>
        <v>462</v>
      </c>
      <c r="O10" s="1" t="n">
        <f aca="false">Binolar!G173</f>
        <v>0.2</v>
      </c>
      <c r="P10" s="1" t="n">
        <f aca="false">Binolar!E200+Binolar!F200</f>
        <v>369</v>
      </c>
      <c r="Q10" s="1" t="n">
        <f aca="false">Binolar!G200</f>
        <v>0.2</v>
      </c>
    </row>
    <row r="11" customFormat="false" ht="15" hidden="false" customHeight="false" outlineLevel="0" collapsed="false">
      <c r="A11" s="1" t="n">
        <v>6</v>
      </c>
      <c r="B11" s="1" t="n">
        <f aca="false">Binolar!F12+Binolar!G12</f>
        <v>320</v>
      </c>
      <c r="C11" s="1" t="n">
        <f aca="false">Binolar!H12</f>
        <v>0.3</v>
      </c>
      <c r="D11" s="1" t="n">
        <f aca="false">Binolar!F39+Binolar!G39+Binolar!H39</f>
        <v>580</v>
      </c>
      <c r="E11" s="1" t="n">
        <f aca="false">Binolar!I39</f>
        <v>0.3</v>
      </c>
      <c r="F11" s="1" t="n">
        <f aca="false">Binolar!E66+Binolar!F66+Binolar!G66</f>
        <v>420</v>
      </c>
      <c r="G11" s="1" t="n">
        <f aca="false">Binolar!H66</f>
        <v>0.2</v>
      </c>
      <c r="H11" s="1" t="n">
        <f aca="false">Binolar!E93+Binolar!F93+Binolar!G93</f>
        <v>588</v>
      </c>
      <c r="I11" s="1" t="n">
        <f aca="false">Binolar!H93</f>
        <v>0.4</v>
      </c>
      <c r="J11" s="1" t="n">
        <f aca="false">Binolar!E120+Binolar!F120+Binolar!G120</f>
        <v>504</v>
      </c>
      <c r="K11" s="1" t="n">
        <f aca="false">Binolar!H120</f>
        <v>0.3</v>
      </c>
      <c r="L11" s="1" t="n">
        <f aca="false">Binolar!E147+Binolar!F147+Binolar!G147</f>
        <v>378</v>
      </c>
      <c r="M11" s="1" t="n">
        <f aca="false">Binolar!H147</f>
        <v>0.2</v>
      </c>
      <c r="N11" s="1" t="n">
        <f aca="false">Binolar!D174+Binolar!E174+Binolar!F174</f>
        <v>600</v>
      </c>
      <c r="O11" s="1" t="n">
        <f aca="false">Binolar!G174</f>
        <v>0.3</v>
      </c>
      <c r="P11" s="1" t="n">
        <f aca="false">Binolar!E201+Binolar!F201</f>
        <v>480</v>
      </c>
      <c r="Q11" s="1" t="n">
        <f aca="false">Binolar!G201</f>
        <v>0.3</v>
      </c>
    </row>
    <row r="12" customFormat="false" ht="15" hidden="false" customHeight="false" outlineLevel="0" collapsed="false">
      <c r="A12" s="1" t="n">
        <v>7</v>
      </c>
      <c r="B12" s="1" t="n">
        <f aca="false">Binolar!F13+Binolar!G13</f>
        <v>416</v>
      </c>
      <c r="C12" s="1" t="n">
        <f aca="false">Binolar!H13</f>
        <v>0.4</v>
      </c>
      <c r="D12" s="1" t="n">
        <f aca="false">Binolar!F40+Binolar!G40+Binolar!H40</f>
        <v>754</v>
      </c>
      <c r="E12" s="1" t="n">
        <f aca="false">Binolar!I40</f>
        <v>0.4</v>
      </c>
      <c r="F12" s="1" t="n">
        <f aca="false">Binolar!E67+Binolar!F67+Binolar!G67</f>
        <v>546</v>
      </c>
      <c r="G12" s="1" t="n">
        <f aca="false">Binolar!H67</f>
        <v>0.3</v>
      </c>
      <c r="H12" s="1" t="n">
        <f aca="false">Binolar!E94+Binolar!F94+Binolar!G94</f>
        <v>764</v>
      </c>
      <c r="I12" s="1" t="n">
        <f aca="false">Binolar!H94</f>
        <v>0.5</v>
      </c>
      <c r="J12" s="1" t="n">
        <f aca="false">Binolar!E121+Binolar!F121+Binolar!G121</f>
        <v>655</v>
      </c>
      <c r="K12" s="1" t="n">
        <f aca="false">Binolar!H121</f>
        <v>0.4</v>
      </c>
      <c r="L12" s="1" t="n">
        <f aca="false">Binolar!E148+Binolar!F148+Binolar!G148</f>
        <v>491</v>
      </c>
      <c r="M12" s="1" t="n">
        <f aca="false">Binolar!H148</f>
        <v>0.2</v>
      </c>
      <c r="N12" s="1" t="n">
        <f aca="false">Binolar!D175+Binolar!E175+Binolar!F175</f>
        <v>780</v>
      </c>
      <c r="O12" s="1" t="n">
        <f aca="false">Binolar!G175</f>
        <v>0.3</v>
      </c>
      <c r="P12" s="1" t="n">
        <f aca="false">Binolar!E202+Binolar!F202</f>
        <v>624</v>
      </c>
      <c r="Q12" s="1" t="n">
        <f aca="false">Binolar!G202</f>
        <v>0.4</v>
      </c>
    </row>
    <row r="13" customFormat="false" ht="15" hidden="false" customHeight="false" outlineLevel="0" collapsed="false">
      <c r="A13" s="1" t="n">
        <v>8</v>
      </c>
      <c r="B13" s="1" t="n">
        <f aca="false">Binolar!F14+Binolar!G14</f>
        <v>541</v>
      </c>
      <c r="C13" s="1" t="n">
        <f aca="false">Binolar!H14</f>
        <v>0.4</v>
      </c>
      <c r="D13" s="1" t="n">
        <f aca="false">Binolar!F41+Binolar!G41+Binolar!H41</f>
        <v>980</v>
      </c>
      <c r="E13" s="1" t="n">
        <f aca="false">Binolar!I41</f>
        <v>0.5</v>
      </c>
      <c r="F13" s="1" t="n">
        <f aca="false">Binolar!E68+Binolar!F68+Binolar!G68</f>
        <v>709</v>
      </c>
      <c r="G13" s="1" t="n">
        <f aca="false">Binolar!H68</f>
        <v>0.4</v>
      </c>
      <c r="H13" s="1" t="n">
        <f aca="false">Binolar!E95+Binolar!F95+Binolar!G95</f>
        <v>994</v>
      </c>
      <c r="I13" s="1" t="n">
        <f aca="false">Binolar!H95</f>
        <v>0.6</v>
      </c>
      <c r="J13" s="1" t="n">
        <f aca="false">Binolar!E122+Binolar!F122+Binolar!G122</f>
        <v>851</v>
      </c>
      <c r="K13" s="1" t="n">
        <f aca="false">Binolar!H122</f>
        <v>0.5</v>
      </c>
      <c r="L13" s="1" t="n">
        <f aca="false">Binolar!E149+Binolar!F149+Binolar!G149</f>
        <v>639</v>
      </c>
      <c r="M13" s="1" t="n">
        <f aca="false">Binolar!H149</f>
        <v>0.3</v>
      </c>
      <c r="N13" s="1" t="n">
        <f aca="false">Binolar!D176+Binolar!E176+Binolar!F176</f>
        <v>1013</v>
      </c>
      <c r="O13" s="1" t="n">
        <f aca="false">Binolar!G176</f>
        <v>0.4</v>
      </c>
      <c r="P13" s="1" t="n">
        <f aca="false">Binolar!E203+Binolar!F203</f>
        <v>811</v>
      </c>
      <c r="Q13" s="1" t="n">
        <f aca="false">Binolar!G203</f>
        <v>0.4</v>
      </c>
    </row>
    <row r="14" customFormat="false" ht="15" hidden="false" customHeight="false" outlineLevel="0" collapsed="false">
      <c r="A14" s="1" t="n">
        <v>9</v>
      </c>
      <c r="B14" s="1" t="n">
        <f aca="false">Binolar!F15+Binolar!G15</f>
        <v>703</v>
      </c>
      <c r="C14" s="1" t="n">
        <f aca="false">Binolar!H15</f>
        <v>0.6</v>
      </c>
      <c r="D14" s="1" t="n">
        <f aca="false">Binolar!F42+Binolar!G42+Binolar!H42</f>
        <v>1274</v>
      </c>
      <c r="E14" s="1" t="n">
        <f aca="false">Binolar!I42</f>
        <v>0.7</v>
      </c>
      <c r="F14" s="1" t="n">
        <f aca="false">Binolar!E69+Binolar!F69+Binolar!G69</f>
        <v>922</v>
      </c>
      <c r="G14" s="1" t="n">
        <f aca="false">Binolar!H69</f>
        <v>0.4</v>
      </c>
      <c r="H14" s="1" t="n">
        <f aca="false">Binolar!E96+Binolar!F96+Binolar!G96</f>
        <v>1291</v>
      </c>
      <c r="I14" s="1" t="n">
        <f aca="false">Binolar!H96</f>
        <v>0.7</v>
      </c>
      <c r="J14" s="1" t="n">
        <f aca="false">Binolar!E123+Binolar!F123+Binolar!G123</f>
        <v>1106</v>
      </c>
      <c r="K14" s="1" t="n">
        <f aca="false">Binolar!H123</f>
        <v>0.6</v>
      </c>
      <c r="L14" s="1" t="n">
        <f aca="false">Binolar!E150+Binolar!F150+Binolar!G150</f>
        <v>830</v>
      </c>
      <c r="M14" s="1" t="n">
        <f aca="false">Binolar!H150</f>
        <v>0.4</v>
      </c>
      <c r="N14" s="1" t="n">
        <f aca="false">Binolar!D177+Binolar!E177+Binolar!F177</f>
        <v>1317</v>
      </c>
      <c r="O14" s="1" t="n">
        <f aca="false">Binolar!G177</f>
        <v>0.5</v>
      </c>
      <c r="P14" s="1" t="n">
        <f aca="false">Binolar!E204+Binolar!F204</f>
        <v>1054</v>
      </c>
      <c r="Q14" s="1" t="n">
        <f aca="false">Binolar!G204</f>
        <v>0.6</v>
      </c>
    </row>
    <row r="15" customFormat="false" ht="15" hidden="false" customHeight="false" outlineLevel="0" collapsed="false">
      <c r="A15" s="1" t="n">
        <v>10</v>
      </c>
      <c r="B15" s="1" t="n">
        <f aca="false">Binolar!F16+Binolar!G16</f>
        <v>914</v>
      </c>
      <c r="C15" s="1" t="n">
        <f aca="false">Binolar!H16</f>
        <v>0.7</v>
      </c>
      <c r="D15" s="1" t="n">
        <f aca="false">Binolar!F43+Binolar!G43+Binolar!H43</f>
        <v>1656</v>
      </c>
      <c r="E15" s="1" t="n">
        <f aca="false">Binolar!I43</f>
        <v>0.8</v>
      </c>
      <c r="F15" s="1" t="n">
        <f aca="false">Binolar!E70+Binolar!F70+Binolar!G70</f>
        <v>1199</v>
      </c>
      <c r="G15" s="1" t="n">
        <f aca="false">Binolar!H70</f>
        <v>0.6</v>
      </c>
      <c r="H15" s="1" t="n">
        <f aca="false">Binolar!E97+Binolar!F97+Binolar!G97</f>
        <v>1679</v>
      </c>
      <c r="I15" s="1" t="n">
        <f aca="false">Binolar!H97</f>
        <v>0.9</v>
      </c>
      <c r="J15" s="1" t="n">
        <f aca="false">Binolar!E124+Binolar!F124+Binolar!G124</f>
        <v>1439</v>
      </c>
      <c r="K15" s="1" t="n">
        <f aca="false">Binolar!H124</f>
        <v>0.8</v>
      </c>
      <c r="L15" s="1" t="n">
        <f aca="false">Binolar!E151+Binolar!F151+Binolar!G151</f>
        <v>1079</v>
      </c>
      <c r="M15" s="1" t="n">
        <f aca="false">Binolar!H151</f>
        <v>0.5</v>
      </c>
      <c r="N15" s="1" t="n">
        <f aca="false">Binolar!D178+Binolar!E178+Binolar!F178</f>
        <v>1713</v>
      </c>
      <c r="O15" s="1" t="n">
        <f aca="false">Binolar!G178</f>
        <v>0.6</v>
      </c>
      <c r="P15" s="1" t="n">
        <f aca="false">Binolar!E205+Binolar!F205</f>
        <v>1370</v>
      </c>
      <c r="Q15" s="1" t="n">
        <f aca="false">Binolar!G205</f>
        <v>0.7</v>
      </c>
    </row>
    <row r="16" customFormat="false" ht="15" hidden="false" customHeight="false" outlineLevel="0" collapsed="false">
      <c r="A16" s="1" t="n">
        <v>11</v>
      </c>
      <c r="B16" s="1" t="n">
        <f aca="false">Binolar!F17+Binolar!G17</f>
        <v>1696</v>
      </c>
      <c r="C16" s="1" t="n">
        <f aca="false">Binolar!H17</f>
        <v>1.2</v>
      </c>
      <c r="D16" s="1" t="n">
        <f aca="false">Binolar!F44+Binolar!G44+Binolar!H44</f>
        <v>3075</v>
      </c>
      <c r="E16" s="1" t="n">
        <f aca="false">Binolar!I44</f>
        <v>1.5</v>
      </c>
      <c r="F16" s="1" t="n">
        <f aca="false">Binolar!E71+Binolar!F71+Binolar!G71</f>
        <v>2226</v>
      </c>
      <c r="G16" s="1" t="n">
        <f aca="false">Binolar!H71</f>
        <v>1</v>
      </c>
      <c r="H16" s="1" t="n">
        <f aca="false">Binolar!E98+Binolar!F98+Binolar!G98</f>
        <v>3117</v>
      </c>
      <c r="I16" s="1" t="n">
        <f aca="false">Binolar!H98</f>
        <v>1.6</v>
      </c>
      <c r="J16" s="1" t="n">
        <f aca="false">Binolar!E125+Binolar!F125+Binolar!G125</f>
        <v>2672</v>
      </c>
      <c r="K16" s="1" t="n">
        <f aca="false">Binolar!H125</f>
        <v>1.4</v>
      </c>
      <c r="L16" s="1" t="n">
        <f aca="false">Binolar!E152+Binolar!F152+Binolar!G152</f>
        <v>2004</v>
      </c>
      <c r="M16" s="1" t="n">
        <f aca="false">Binolar!H152</f>
        <v>0.9</v>
      </c>
      <c r="N16" s="1" t="n">
        <f aca="false">Binolar!D179+Binolar!E179+Binolar!F179</f>
        <v>3181</v>
      </c>
      <c r="O16" s="1" t="n">
        <f aca="false">Binolar!G179</f>
        <v>1.1</v>
      </c>
      <c r="P16" s="1" t="n">
        <f aca="false">Binolar!E206+Binolar!F206</f>
        <v>2545</v>
      </c>
      <c r="Q16" s="1" t="n">
        <f aca="false">Binolar!G206</f>
        <v>1.2</v>
      </c>
    </row>
    <row r="17" customFormat="false" ht="15" hidden="false" customHeight="false" outlineLevel="0" collapsed="false">
      <c r="A17" s="1" t="n">
        <v>12</v>
      </c>
      <c r="B17" s="1" t="n">
        <f aca="false">Binolar!F18+Binolar!G18</f>
        <v>2206</v>
      </c>
      <c r="C17" s="1" t="n">
        <f aca="false">Binolar!H18</f>
        <v>1.6</v>
      </c>
      <c r="D17" s="1" t="n">
        <f aca="false">Binolar!F45+Binolar!G45+Binolar!H45</f>
        <v>3998</v>
      </c>
      <c r="E17" s="1" t="n">
        <f aca="false">Binolar!I45</f>
        <v>1.9</v>
      </c>
      <c r="F17" s="1" t="n">
        <f aca="false">Binolar!E72+Binolar!F72+Binolar!G72</f>
        <v>2895</v>
      </c>
      <c r="G17" s="1" t="n">
        <f aca="false">Binolar!H72</f>
        <v>1.2</v>
      </c>
      <c r="H17" s="1" t="n">
        <f aca="false">Binolar!E99+Binolar!F99+Binolar!G99</f>
        <v>4054</v>
      </c>
      <c r="I17" s="1" t="n">
        <f aca="false">Binolar!H99</f>
        <v>2</v>
      </c>
      <c r="J17" s="1" t="n">
        <f aca="false">Binolar!E126+Binolar!F126+Binolar!G126</f>
        <v>3474</v>
      </c>
      <c r="K17" s="1" t="n">
        <f aca="false">Binolar!H126</f>
        <v>1.7</v>
      </c>
      <c r="L17" s="1" t="n">
        <f aca="false">Binolar!E153+Binolar!F153+Binolar!G153</f>
        <v>2606</v>
      </c>
      <c r="M17" s="1" t="n">
        <f aca="false">Binolar!H153</f>
        <v>1.1</v>
      </c>
      <c r="N17" s="1" t="n">
        <f aca="false">Binolar!D180+Binolar!E180+Binolar!F180</f>
        <v>4136</v>
      </c>
      <c r="O17" s="1" t="n">
        <f aca="false">Binolar!G180</f>
        <v>1.4</v>
      </c>
      <c r="P17" s="1" t="n">
        <f aca="false">Binolar!E207+Binolar!F207</f>
        <v>3308</v>
      </c>
      <c r="Q17" s="1" t="n">
        <f aca="false">Binolar!G207</f>
        <v>1.6</v>
      </c>
    </row>
    <row r="18" customFormat="false" ht="15" hidden="false" customHeight="false" outlineLevel="0" collapsed="false">
      <c r="A18" s="1" t="n">
        <v>13</v>
      </c>
      <c r="B18" s="1" t="n">
        <f aca="false">Binolar!F19+Binolar!G19</f>
        <v>2867</v>
      </c>
      <c r="C18" s="1" t="n">
        <f aca="false">Binolar!H19</f>
        <v>1.9</v>
      </c>
      <c r="D18" s="1" t="n">
        <f aca="false">Binolar!F46+Binolar!G46+Binolar!H46</f>
        <v>5197</v>
      </c>
      <c r="E18" s="1" t="n">
        <f aca="false">Binolar!I46</f>
        <v>2.3</v>
      </c>
      <c r="F18" s="1" t="n">
        <f aca="false">Binolar!E73+Binolar!F73+Binolar!G73</f>
        <v>3763</v>
      </c>
      <c r="G18" s="1" t="n">
        <f aca="false">Binolar!H73</f>
        <v>1.6</v>
      </c>
      <c r="H18" s="1" t="n">
        <f aca="false">Binolar!E100+Binolar!F100+Binolar!G100</f>
        <v>5269</v>
      </c>
      <c r="I18" s="1" t="n">
        <f aca="false">Binolar!H100</f>
        <v>2.5</v>
      </c>
      <c r="J18" s="1" t="n">
        <f aca="false">Binolar!E127+Binolar!F127+Binolar!G127</f>
        <v>4517</v>
      </c>
      <c r="K18" s="1" t="n">
        <f aca="false">Binolar!H127</f>
        <v>2.1</v>
      </c>
      <c r="L18" s="1" t="n">
        <f aca="false">Binolar!E154+Binolar!F154+Binolar!G154</f>
        <v>3388</v>
      </c>
      <c r="M18" s="1" t="n">
        <f aca="false">Binolar!H154</f>
        <v>1.4</v>
      </c>
      <c r="N18" s="1" t="n">
        <f aca="false">Binolar!D181+Binolar!E181+Binolar!F181</f>
        <v>5377</v>
      </c>
      <c r="O18" s="1" t="n">
        <f aca="false">Binolar!G181</f>
        <v>1.7</v>
      </c>
      <c r="P18" s="1" t="n">
        <f aca="false">Binolar!E208+Binolar!F208</f>
        <v>4301</v>
      </c>
      <c r="Q18" s="1" t="n">
        <f aca="false">Binolar!G208</f>
        <v>1.9</v>
      </c>
    </row>
    <row r="19" customFormat="false" ht="15" hidden="false" customHeight="false" outlineLevel="0" collapsed="false">
      <c r="A19" s="1" t="n">
        <v>14</v>
      </c>
      <c r="B19" s="1" t="n">
        <f aca="false">Binolar!F20+Binolar!G20</f>
        <v>3728</v>
      </c>
      <c r="C19" s="1" t="n">
        <f aca="false">Binolar!H20</f>
        <v>2.4</v>
      </c>
      <c r="D19" s="1" t="n">
        <f aca="false">Binolar!F47+Binolar!G47+Binolar!H47</f>
        <v>6757</v>
      </c>
      <c r="E19" s="1" t="n">
        <f aca="false">Binolar!I47</f>
        <v>2.9</v>
      </c>
      <c r="F19" s="1" t="n">
        <f aca="false">Binolar!E74+Binolar!F74+Binolar!G74</f>
        <v>4892</v>
      </c>
      <c r="G19" s="1" t="n">
        <f aca="false">Binolar!H74</f>
        <v>1.9</v>
      </c>
      <c r="H19" s="1" t="n">
        <f aca="false">Binolar!E101+Binolar!F101+Binolar!G101</f>
        <v>6850</v>
      </c>
      <c r="I19" s="1" t="n">
        <f aca="false">Binolar!H101</f>
        <v>3.2</v>
      </c>
      <c r="J19" s="1" t="n">
        <f aca="false">Binolar!E128+Binolar!F128+Binolar!G128</f>
        <v>5871</v>
      </c>
      <c r="K19" s="1" t="n">
        <f aca="false">Binolar!H128</f>
        <v>2.7</v>
      </c>
      <c r="L19" s="1" t="n">
        <f aca="false">Binolar!E155+Binolar!F155+Binolar!G155</f>
        <v>4404</v>
      </c>
      <c r="M19" s="1" t="n">
        <f aca="false">Binolar!H155</f>
        <v>1.7</v>
      </c>
      <c r="N19" s="1" t="n">
        <f aca="false">Binolar!D182+Binolar!E182+Binolar!F182</f>
        <v>6990</v>
      </c>
      <c r="O19" s="1" t="n">
        <f aca="false">Binolar!G182</f>
        <v>2.2</v>
      </c>
      <c r="P19" s="1" t="n">
        <f aca="false">Binolar!E209+Binolar!F209</f>
        <v>5592</v>
      </c>
      <c r="Q19" s="1" t="n">
        <f aca="false">Binolar!G209</f>
        <v>2.4</v>
      </c>
    </row>
    <row r="20" customFormat="false" ht="15" hidden="false" customHeight="false" outlineLevel="0" collapsed="false">
      <c r="A20" s="1" t="n">
        <v>15</v>
      </c>
      <c r="B20" s="1" t="n">
        <f aca="false">Binolar!F21+Binolar!G21</f>
        <v>4846</v>
      </c>
      <c r="C20" s="1" t="n">
        <f aca="false">Binolar!H21</f>
        <v>3</v>
      </c>
      <c r="D20" s="1" t="n">
        <f aca="false">Binolar!F48+Binolar!G48+Binolar!H48</f>
        <v>8784</v>
      </c>
      <c r="E20" s="1" t="n">
        <f aca="false">Binolar!I48</f>
        <v>3.6</v>
      </c>
      <c r="F20" s="1" t="n">
        <f aca="false">Binolar!E75+Binolar!F75+Binolar!G75</f>
        <v>6361</v>
      </c>
      <c r="G20" s="1" t="n">
        <f aca="false">Binolar!H75</f>
        <v>2.4</v>
      </c>
      <c r="H20" s="1" t="n">
        <f aca="false">Binolar!E102+Binolar!F102+Binolar!G102</f>
        <v>8904</v>
      </c>
      <c r="I20" s="1" t="n">
        <f aca="false">Binolar!H102</f>
        <v>3.9</v>
      </c>
      <c r="J20" s="1" t="n">
        <f aca="false">Binolar!E129+Binolar!F129+Binolar!G129</f>
        <v>7633</v>
      </c>
      <c r="K20" s="1" t="n">
        <f aca="false">Binolar!H129</f>
        <v>3.3</v>
      </c>
      <c r="L20" s="1" t="n">
        <f aca="false">Binolar!E156+Binolar!F156+Binolar!G156</f>
        <v>5724</v>
      </c>
      <c r="M20" s="1" t="n">
        <f aca="false">Binolar!H156</f>
        <v>2.1</v>
      </c>
      <c r="N20" s="1" t="n">
        <f aca="false">Binolar!D183+Binolar!E183+Binolar!F183</f>
        <v>9087</v>
      </c>
      <c r="O20" s="1" t="n">
        <f aca="false">Binolar!G183</f>
        <v>2.7</v>
      </c>
      <c r="P20" s="1" t="n">
        <f aca="false">Binolar!E210+Binolar!F210</f>
        <v>7269</v>
      </c>
      <c r="Q20" s="1" t="n">
        <f aca="false">Binolar!G210</f>
        <v>3</v>
      </c>
    </row>
    <row r="21" customFormat="false" ht="15" hidden="false" customHeight="false" outlineLevel="0" collapsed="false">
      <c r="A21" s="1" t="n">
        <v>16</v>
      </c>
      <c r="B21" s="1" t="n">
        <f aca="false">Binolar!F22+Binolar!G22</f>
        <v>7875</v>
      </c>
      <c r="C21" s="1" t="n">
        <f aca="false">Binolar!H22</f>
        <v>4.7</v>
      </c>
      <c r="D21" s="1" t="n">
        <f aca="false">Binolar!F49+Binolar!G49+Binolar!H49</f>
        <v>14274</v>
      </c>
      <c r="E21" s="1" t="n">
        <f aca="false">Binolar!I49</f>
        <v>5.7</v>
      </c>
      <c r="F21" s="1" t="n">
        <f aca="false">Binolar!E76+Binolar!F76+Binolar!G76</f>
        <v>10336</v>
      </c>
      <c r="G21" s="1" t="n">
        <f aca="false">Binolar!H76</f>
        <v>3.8</v>
      </c>
      <c r="H21" s="1" t="n">
        <f aca="false">Binolar!E103+Binolar!F103+Binolar!G103</f>
        <v>14470</v>
      </c>
      <c r="I21" s="1" t="n">
        <f aca="false">Binolar!H103</f>
        <v>6.2</v>
      </c>
      <c r="J21" s="1" t="n">
        <f aca="false">Binolar!E130+Binolar!F130+Binolar!G130</f>
        <v>12403</v>
      </c>
      <c r="K21" s="1" t="n">
        <f aca="false">Binolar!H130</f>
        <v>5.2</v>
      </c>
      <c r="L21" s="1" t="n">
        <f aca="false">Binolar!E157+Binolar!F157+Binolar!G157</f>
        <v>9302</v>
      </c>
      <c r="M21" s="1" t="n">
        <f aca="false">Binolar!H157</f>
        <v>3.3</v>
      </c>
      <c r="N21" s="1" t="n">
        <f aca="false">Binolar!D184+Binolar!E184+Binolar!F184</f>
        <v>14765</v>
      </c>
      <c r="O21" s="1" t="n">
        <f aca="false">Binolar!G184</f>
        <v>4.3</v>
      </c>
      <c r="P21" s="1" t="n">
        <f aca="false">Binolar!E211+Binolar!F211</f>
        <v>11812</v>
      </c>
      <c r="Q21" s="1" t="n">
        <f aca="false">Binolar!G211</f>
        <v>4.7</v>
      </c>
    </row>
    <row r="22" customFormat="false" ht="15" hidden="false" customHeight="false" outlineLevel="0" collapsed="false">
      <c r="A22" s="1" t="n">
        <v>17</v>
      </c>
      <c r="B22" s="1" t="n">
        <f aca="false">Binolar!F23+Binolar!G23</f>
        <v>10237</v>
      </c>
      <c r="C22" s="1" t="n">
        <f aca="false">Binolar!H23</f>
        <v>5.9</v>
      </c>
      <c r="D22" s="1" t="n">
        <f aca="false">Binolar!F50+Binolar!G50+Binolar!H50</f>
        <v>18554</v>
      </c>
      <c r="E22" s="1" t="n">
        <f aca="false">Binolar!I50</f>
        <v>7.1</v>
      </c>
      <c r="F22" s="1" t="n">
        <f aca="false">Binolar!E77+Binolar!F77+Binolar!G77</f>
        <v>13436</v>
      </c>
      <c r="G22" s="1" t="n">
        <f aca="false">Binolar!H77</f>
        <v>4.7</v>
      </c>
      <c r="H22" s="1" t="n">
        <f aca="false">Binolar!E104+Binolar!F104+Binolar!G104</f>
        <v>18811</v>
      </c>
      <c r="I22" s="1" t="n">
        <f aca="false">Binolar!H104</f>
        <v>7.7</v>
      </c>
      <c r="J22" s="1" t="n">
        <f aca="false">Binolar!E131+Binolar!F131+Binolar!G131</f>
        <v>16123</v>
      </c>
      <c r="K22" s="1" t="n">
        <f aca="false">Binolar!H131</f>
        <v>6.5</v>
      </c>
      <c r="L22" s="1" t="n">
        <f aca="false">Binolar!E158+Binolar!F158+Binolar!G158</f>
        <v>12093</v>
      </c>
      <c r="M22" s="1" t="n">
        <f aca="false">Binolar!H158</f>
        <v>4.1</v>
      </c>
      <c r="N22" s="1" t="n">
        <f aca="false">Binolar!D185+Binolar!E185+Binolar!F185</f>
        <v>19195</v>
      </c>
      <c r="O22" s="1" t="n">
        <f aca="false">Binolar!G185</f>
        <v>5.3</v>
      </c>
      <c r="P22" s="1" t="n">
        <f aca="false">Binolar!E212+Binolar!F212</f>
        <v>15356</v>
      </c>
      <c r="Q22" s="1" t="n">
        <f aca="false">Binolar!G212</f>
        <v>5.9</v>
      </c>
    </row>
    <row r="23" customFormat="false" ht="15" hidden="false" customHeight="false" outlineLevel="0" collapsed="false">
      <c r="A23" s="1" t="n">
        <v>18</v>
      </c>
      <c r="B23" s="1" t="n">
        <f aca="false">Binolar!F24+Binolar!G24</f>
        <v>13309</v>
      </c>
      <c r="C23" s="1" t="n">
        <f aca="false">Binolar!H24</f>
        <v>7.4</v>
      </c>
      <c r="D23" s="1" t="n">
        <f aca="false">Binolar!F51+Binolar!G51+Binolar!H51</f>
        <v>24122</v>
      </c>
      <c r="E23" s="1" t="n">
        <f aca="false">Binolar!I51</f>
        <v>8.9</v>
      </c>
      <c r="F23" s="1" t="n">
        <f aca="false">Binolar!E78+Binolar!F78+Binolar!G78</f>
        <v>17467</v>
      </c>
      <c r="G23" s="1" t="n">
        <f aca="false">Binolar!H78</f>
        <v>5.9</v>
      </c>
      <c r="H23" s="1" t="n">
        <f aca="false">Binolar!E105+Binolar!F105+Binolar!G105</f>
        <v>24454</v>
      </c>
      <c r="I23" s="1" t="n">
        <f aca="false">Binolar!H105</f>
        <v>9.6</v>
      </c>
      <c r="J23" s="1" t="n">
        <f aca="false">Binolar!E132+Binolar!F132+Binolar!G132</f>
        <v>20961</v>
      </c>
      <c r="K23" s="1" t="n">
        <f aca="false">Binolar!H132</f>
        <v>8.1</v>
      </c>
      <c r="L23" s="1" t="n">
        <f aca="false">Binolar!E159+Binolar!F159+Binolar!G159</f>
        <v>15720</v>
      </c>
      <c r="M23" s="1" t="n">
        <f aca="false">Binolar!H159</f>
        <v>5.2</v>
      </c>
      <c r="N23" s="1" t="n">
        <f aca="false">Binolar!D186+Binolar!E186+Binolar!F186</f>
        <v>24953</v>
      </c>
      <c r="O23" s="1" t="n">
        <f aca="false">Binolar!G186</f>
        <v>6.7</v>
      </c>
      <c r="P23" s="1" t="n">
        <f aca="false">Binolar!E213+Binolar!F213</f>
        <v>19962</v>
      </c>
      <c r="Q23" s="1" t="n">
        <f aca="false">Binolar!G213</f>
        <v>7.4</v>
      </c>
    </row>
    <row r="24" customFormat="false" ht="15" hidden="false" customHeight="false" outlineLevel="0" collapsed="false">
      <c r="A24" s="1" t="n">
        <v>19</v>
      </c>
      <c r="B24" s="1" t="n">
        <f aca="false">Binolar!F25+Binolar!G25</f>
        <v>17301</v>
      </c>
      <c r="C24" s="1" t="n">
        <f aca="false">Binolar!H25</f>
        <v>9.3</v>
      </c>
      <c r="D24" s="1" t="n">
        <f aca="false">Binolar!F52+Binolar!G52+Binolar!H52</f>
        <v>31358</v>
      </c>
      <c r="E24" s="1" t="n">
        <f aca="false">Binolar!I52</f>
        <v>11.1</v>
      </c>
      <c r="F24" s="1" t="n">
        <f aca="false">Binolar!E79+Binolar!F79+Binolar!G79</f>
        <v>22708</v>
      </c>
      <c r="G24" s="1" t="n">
        <f aca="false">Binolar!H79</f>
        <v>7.4</v>
      </c>
      <c r="H24" s="1" t="n">
        <f aca="false">Binolar!E106+Binolar!F106+Binolar!G106</f>
        <v>31790</v>
      </c>
      <c r="I24" s="1" t="n">
        <f aca="false">Binolar!H106</f>
        <v>12</v>
      </c>
      <c r="J24" s="1" t="n">
        <f aca="false">Binolar!E133+Binolar!F133+Binolar!G133</f>
        <v>27249</v>
      </c>
      <c r="K24" s="1" t="n">
        <f aca="false">Binolar!H133</f>
        <v>10.2</v>
      </c>
      <c r="L24" s="1" t="n">
        <f aca="false">Binolar!E160+Binolar!F160+Binolar!G160</f>
        <v>20437</v>
      </c>
      <c r="M24" s="1" t="n">
        <f aca="false">Binolar!H160</f>
        <v>6.5</v>
      </c>
      <c r="N24" s="1" t="n">
        <f aca="false">Binolar!D187+Binolar!E187+Binolar!F187</f>
        <v>32439</v>
      </c>
      <c r="O24" s="1" t="n">
        <f aca="false">Binolar!G187</f>
        <v>8.3</v>
      </c>
      <c r="P24" s="1" t="n">
        <f aca="false">Binolar!E214+Binolar!F214</f>
        <v>25951</v>
      </c>
      <c r="Q24" s="1" t="n">
        <f aca="false">Binolar!G214</f>
        <v>9.3</v>
      </c>
    </row>
    <row r="25" customFormat="false" ht="15" hidden="false" customHeight="false" outlineLevel="0" collapsed="false">
      <c r="A25" s="1" t="n">
        <v>20</v>
      </c>
      <c r="B25" s="1" t="n">
        <f aca="false">Binolar!F26+Binolar!G26</f>
        <v>22491</v>
      </c>
      <c r="C25" s="1" t="n">
        <f aca="false">Binolar!H26</f>
        <v>11.6</v>
      </c>
      <c r="D25" s="1" t="n">
        <f aca="false">Binolar!F53+Binolar!G53+Binolar!H53</f>
        <v>40765</v>
      </c>
      <c r="E25" s="1" t="n">
        <f aca="false">Binolar!I53</f>
        <v>13.9</v>
      </c>
      <c r="F25" s="1" t="n">
        <f aca="false">Binolar!E80+Binolar!F80+Binolar!G80</f>
        <v>29520</v>
      </c>
      <c r="G25" s="1" t="n">
        <f aca="false">Binolar!H80</f>
        <v>9.3</v>
      </c>
      <c r="H25" s="1" t="n">
        <f aca="false">Binolar!E107+Binolar!F107+Binolar!G107</f>
        <v>41328</v>
      </c>
      <c r="I25" s="1" t="n">
        <f aca="false">Binolar!H107</f>
        <v>15</v>
      </c>
      <c r="J25" s="1" t="n">
        <f aca="false">Binolar!E134+Binolar!F134+Binolar!G134</f>
        <v>35423</v>
      </c>
      <c r="K25" s="1" t="n">
        <f aca="false">Binolar!H134</f>
        <v>12.7</v>
      </c>
      <c r="L25" s="1" t="n">
        <f aca="false">Binolar!E161+Binolar!F161+Binolar!G161</f>
        <v>26567</v>
      </c>
      <c r="M25" s="1" t="n">
        <f aca="false">Binolar!H161</f>
        <v>8.1</v>
      </c>
      <c r="N25" s="1" t="n">
        <f aca="false">Binolar!D188+Binolar!E188+Binolar!F188</f>
        <v>42171</v>
      </c>
      <c r="O25" s="1" t="n">
        <f aca="false">Binolar!G188</f>
        <v>10.4</v>
      </c>
      <c r="P25" s="1" t="n">
        <f aca="false">Binolar!E215+Binolar!F215</f>
        <v>33737</v>
      </c>
      <c r="Q25" s="1" t="n">
        <f aca="false">Binolar!G215</f>
        <v>11.6</v>
      </c>
    </row>
    <row r="26" customFormat="false" ht="15" hidden="false" customHeight="false" outlineLevel="0" collapsed="false">
      <c r="A26" s="1" t="n">
        <v>21</v>
      </c>
      <c r="B26" s="1" t="n">
        <f aca="false">Binolar!F27+Binolar!G27</f>
        <v>29238</v>
      </c>
      <c r="C26" s="1" t="n">
        <f aca="false">Binolar!H27</f>
        <v>14.5</v>
      </c>
      <c r="D26" s="1" t="n">
        <f aca="false">Binolar!F54+Binolar!G54+Binolar!H54</f>
        <v>52995</v>
      </c>
      <c r="E26" s="1" t="n">
        <f aca="false">Binolar!I54</f>
        <v>17.3</v>
      </c>
      <c r="F26" s="1" t="n">
        <f aca="false">Binolar!E81+Binolar!F81+Binolar!G81</f>
        <v>38376</v>
      </c>
      <c r="G26" s="1" t="n">
        <f aca="false">Binolar!H81</f>
        <v>11.6</v>
      </c>
      <c r="H26" s="1" t="n">
        <f aca="false">Binolar!E108+Binolar!F108+Binolar!G108</f>
        <v>53726</v>
      </c>
      <c r="I26" s="1" t="n">
        <f aca="false">Binolar!H108</f>
        <v>18.8</v>
      </c>
      <c r="J26" s="1" t="n">
        <f aca="false">Binolar!E135+Binolar!F135+Binolar!G135</f>
        <v>46051</v>
      </c>
      <c r="K26" s="1" t="n">
        <f aca="false">Binolar!H135</f>
        <v>15.9</v>
      </c>
      <c r="L26" s="1" t="n">
        <f aca="false">Binolar!E162+Binolar!F162+Binolar!G162</f>
        <v>34538</v>
      </c>
      <c r="M26" s="1" t="n">
        <f aca="false">Binolar!H162</f>
        <v>10.1</v>
      </c>
      <c r="N26" s="1" t="n">
        <f aca="false">Binolar!D189+Binolar!E189+Binolar!F189</f>
        <v>54822</v>
      </c>
      <c r="O26" s="1" t="n">
        <f aca="false">Binolar!G189</f>
        <v>13</v>
      </c>
      <c r="P26" s="1" t="n">
        <f aca="false">Binolar!E216+Binolar!F216</f>
        <v>43857</v>
      </c>
      <c r="Q26" s="1" t="n">
        <f aca="false">Binolar!G216</f>
        <v>14.5</v>
      </c>
    </row>
    <row r="27" customFormat="false" ht="15" hidden="false" customHeight="false" outlineLevel="0" collapsed="false">
      <c r="A27" s="1" t="n">
        <v>22</v>
      </c>
      <c r="B27" s="1" t="n">
        <f aca="false">Binolar!F28+Binolar!G28</f>
        <v>38010</v>
      </c>
      <c r="C27" s="1" t="n">
        <f aca="false">Binolar!H28</f>
        <v>18.1</v>
      </c>
      <c r="D27" s="1" t="n">
        <f aca="false">Binolar!F55+Binolar!G55+Binolar!H55</f>
        <v>68892</v>
      </c>
      <c r="E27" s="1" t="n">
        <f aca="false">Binolar!I55</f>
        <v>21.7</v>
      </c>
      <c r="F27" s="1" t="n">
        <f aca="false">Binolar!E82+Binolar!F82+Binolar!G82</f>
        <v>49888</v>
      </c>
      <c r="G27" s="1" t="n">
        <f aca="false">Binolar!H82</f>
        <v>14.5</v>
      </c>
      <c r="H27" s="1" t="n">
        <f aca="false">Binolar!E109+Binolar!F109+Binolar!G109</f>
        <v>69843</v>
      </c>
      <c r="I27" s="1" t="n">
        <f aca="false">Binolar!H109</f>
        <v>23.5</v>
      </c>
      <c r="J27" s="1" t="n">
        <f aca="false">Binolar!E136+Binolar!F136+Binolar!G136</f>
        <v>59866</v>
      </c>
      <c r="K27" s="1" t="n">
        <f aca="false">Binolar!H136</f>
        <v>19.9</v>
      </c>
      <c r="L27" s="1" t="n">
        <f aca="false">Binolar!E163+Binolar!F163+Binolar!G163</f>
        <v>44899</v>
      </c>
      <c r="M27" s="1" t="n">
        <f aca="false">Binolar!H163</f>
        <v>12.6</v>
      </c>
      <c r="N27" s="1" t="n">
        <f aca="false">Binolar!D190+Binolar!E190+Binolar!F190</f>
        <v>71268</v>
      </c>
      <c r="O27" s="1" t="n">
        <f aca="false">Binolar!G190</f>
        <v>16.3</v>
      </c>
      <c r="P27" s="1" t="n">
        <f aca="false">Binolar!E217+Binolar!F217</f>
        <v>57015</v>
      </c>
      <c r="Q27" s="1" t="n">
        <f aca="false">Binolar!G217</f>
        <v>18.1</v>
      </c>
    </row>
    <row r="28" customFormat="false" ht="15" hidden="false" customHeight="false" outlineLevel="0" collapsed="false">
      <c r="A28" s="1" t="n">
        <v>23</v>
      </c>
      <c r="B28" s="1" t="n">
        <f aca="false">Binolar!F29+Binolar!G29</f>
        <v>49413</v>
      </c>
      <c r="C28" s="1" t="n">
        <f aca="false">Binolar!H29</f>
        <v>22.6</v>
      </c>
      <c r="D28" s="1" t="n">
        <f aca="false">Binolar!F56+Binolar!G56+Binolar!H56</f>
        <v>89561</v>
      </c>
      <c r="E28" s="1" t="n">
        <f aca="false">Binolar!I56</f>
        <v>27.1</v>
      </c>
      <c r="F28" s="1" t="n">
        <f aca="false">Binolar!E83+Binolar!F83+Binolar!G83</f>
        <v>64854</v>
      </c>
      <c r="G28" s="1" t="n">
        <f aca="false">Binolar!H83</f>
        <v>18.1</v>
      </c>
      <c r="H28" s="1" t="n">
        <f aca="false">Binolar!E110+Binolar!F110+Binolar!G110</f>
        <v>90796</v>
      </c>
      <c r="I28" s="1" t="n">
        <f aca="false">Binolar!H110</f>
        <v>29.4</v>
      </c>
      <c r="J28" s="1" t="n">
        <f aca="false">Binolar!E137+Binolar!F137+Binolar!G137</f>
        <v>77826</v>
      </c>
      <c r="K28" s="1" t="n">
        <f aca="false">Binolar!H137</f>
        <v>24.8</v>
      </c>
      <c r="L28" s="1" t="n">
        <f aca="false">Binolar!E164+Binolar!F164+Binolar!G164</f>
        <v>58369</v>
      </c>
      <c r="M28" s="1" t="n">
        <f aca="false">Binolar!H164</f>
        <v>15.8</v>
      </c>
      <c r="N28" s="1" t="n">
        <f aca="false">Binolar!D191+Binolar!E191+Binolar!F191</f>
        <v>92649</v>
      </c>
      <c r="O28" s="1" t="n">
        <f aca="false">Binolar!G191</f>
        <v>20.3</v>
      </c>
      <c r="P28" s="1" t="n">
        <f aca="false">Binolar!E218+Binolar!F218</f>
        <v>74119</v>
      </c>
      <c r="Q28" s="1" t="n">
        <f aca="false">Binolar!G218</f>
        <v>22.6</v>
      </c>
    </row>
    <row r="29" customFormat="false" ht="15" hidden="false" customHeight="false" outlineLevel="0" collapsed="false">
      <c r="A29" s="1" t="n">
        <v>24</v>
      </c>
      <c r="B29" s="1" t="n">
        <f aca="false">Binolar!F30+Binolar!G30</f>
        <v>64237</v>
      </c>
      <c r="C29" s="1" t="n">
        <f aca="false">Binolar!H30</f>
        <v>28.2</v>
      </c>
      <c r="D29" s="1" t="n">
        <f aca="false">Binolar!F57+Binolar!G57+Binolar!H57</f>
        <v>116429</v>
      </c>
      <c r="E29" s="1" t="n">
        <f aca="false">Binolar!I57</f>
        <v>33.9</v>
      </c>
      <c r="F29" s="1" t="n">
        <f aca="false">Binolar!E84+Binolar!F84+Binolar!G84</f>
        <v>84311</v>
      </c>
      <c r="G29" s="1" t="n">
        <f aca="false">Binolar!H84</f>
        <v>22.6</v>
      </c>
      <c r="H29" s="1" t="n">
        <f aca="false">Binolar!E111+Binolar!F111+Binolar!G111</f>
        <v>118034</v>
      </c>
      <c r="I29" s="1" t="n">
        <f aca="false">Binolar!H111</f>
        <v>36.7</v>
      </c>
      <c r="J29" s="1" t="n">
        <f aca="false">Binolar!E138+Binolar!F138+Binolar!G138</f>
        <v>101173</v>
      </c>
      <c r="K29" s="1" t="n">
        <f aca="false">Binolar!H138</f>
        <v>31.1</v>
      </c>
      <c r="L29" s="1" t="n">
        <f aca="false">Binolar!E165+Binolar!F165+Binolar!G165</f>
        <v>75880</v>
      </c>
      <c r="M29" s="1" t="n">
        <f aca="false">Binolar!H165</f>
        <v>19.8</v>
      </c>
      <c r="N29" s="1" t="n">
        <f aca="false">Binolar!D192+Binolar!E192+Binolar!F192</f>
        <v>120444</v>
      </c>
      <c r="O29" s="1" t="n">
        <f aca="false">Binolar!G192</f>
        <v>25.4</v>
      </c>
      <c r="P29" s="1" t="n">
        <f aca="false">Binolar!E219+Binolar!F219</f>
        <v>96355</v>
      </c>
      <c r="Q29" s="1" t="n">
        <f aca="false">Binolar!G219</f>
        <v>28.2</v>
      </c>
    </row>
    <row r="30" customFormat="false" ht="15" hidden="false" customHeight="false" outlineLevel="0" collapsed="false">
      <c r="A30" s="1" t="n">
        <v>25</v>
      </c>
      <c r="B30" s="1" t="n">
        <f aca="false">Binolar!F31+Binolar!G31</f>
        <v>83507</v>
      </c>
      <c r="C30" s="1" t="n">
        <f aca="false">Binolar!H31</f>
        <v>35.3</v>
      </c>
      <c r="D30" s="1" t="n">
        <f aca="false">Binolar!F58+Binolar!G58+Binolar!H58</f>
        <v>151358</v>
      </c>
      <c r="E30" s="1" t="n">
        <f aca="false">Binolar!I58</f>
        <v>42.4</v>
      </c>
      <c r="F30" s="1" t="n">
        <f aca="false">Binolar!E85+Binolar!F85+Binolar!G85</f>
        <v>109604</v>
      </c>
      <c r="G30" s="1" t="n">
        <f aca="false">Binolar!H85</f>
        <v>28.2</v>
      </c>
      <c r="H30" s="1" t="n">
        <f aca="false">Binolar!E112+Binolar!F112+Binolar!G112</f>
        <v>153445</v>
      </c>
      <c r="I30" s="1" t="n">
        <f aca="false">Binolar!H112</f>
        <v>45.9</v>
      </c>
      <c r="J30" s="1" t="n">
        <f aca="false">Binolar!E139+Binolar!F139+Binolar!G139</f>
        <v>131525</v>
      </c>
      <c r="K30" s="1" t="n">
        <f aca="false">Binolar!H139</f>
        <v>38.8</v>
      </c>
      <c r="L30" s="1" t="n">
        <f aca="false">Binolar!E166+Binolar!F166+Binolar!G166</f>
        <v>98644</v>
      </c>
      <c r="M30" s="1" t="n">
        <f aca="false">Binolar!H166</f>
        <v>24.7</v>
      </c>
      <c r="N30" s="1" t="n">
        <f aca="false">Binolar!D193+Binolar!E193+Binolar!F193</f>
        <v>156577</v>
      </c>
      <c r="O30" s="1" t="n">
        <f aca="false">Binolar!G193</f>
        <v>31.8</v>
      </c>
      <c r="P30" s="1" t="n">
        <f aca="false">Binolar!E220+Binolar!F220</f>
        <v>125262</v>
      </c>
      <c r="Q30" s="1" t="n">
        <f aca="false">Binolar!G220</f>
        <v>35.3</v>
      </c>
    </row>
    <row r="31" customFormat="false" ht="15" hidden="false" customHeight="false" outlineLevel="0" collapsed="false">
      <c r="A31" s="1" t="s">
        <v>461</v>
      </c>
      <c r="B31" s="1" t="n">
        <f aca="false">SUM(B6:B30)</f>
        <v>354357</v>
      </c>
      <c r="C31" s="1" t="n">
        <f aca="false">SUM(C6:C30)</f>
        <v>170.6</v>
      </c>
      <c r="D31" s="1" t="n">
        <f aca="false">SUM(D6:D30)</f>
        <v>642273</v>
      </c>
      <c r="E31" s="1" t="n">
        <f aca="false">SUM(E6:E30)</f>
        <v>204.6</v>
      </c>
      <c r="F31" s="1" t="n">
        <f aca="false">SUM(F6:F30)</f>
        <v>465090</v>
      </c>
      <c r="G31" s="1" t="n">
        <f aca="false">SUM(G6:G30)</f>
        <v>136.6</v>
      </c>
      <c r="H31" s="1" t="n">
        <f aca="false">SUM(H6:H30)</f>
        <v>651129</v>
      </c>
      <c r="I31" s="1" t="n">
        <f aca="false">SUM(I6:I30)</f>
        <v>221.7</v>
      </c>
      <c r="J31" s="1" t="n">
        <f aca="false">SUM(J6:J30)</f>
        <v>558112</v>
      </c>
      <c r="K31" s="1" t="n">
        <f aca="false">SUM(K6:K30)</f>
        <v>187.6</v>
      </c>
      <c r="L31" s="1" t="n">
        <f aca="false">SUM(L6:L30)</f>
        <v>418584</v>
      </c>
      <c r="M31" s="1" t="n">
        <f aca="false">SUM(M6:M30)</f>
        <v>119.4</v>
      </c>
      <c r="N31" s="1" t="n">
        <f aca="false">SUM(N6:N30)</f>
        <v>664418</v>
      </c>
      <c r="O31" s="1" t="n">
        <f aca="false">SUM(O6:O30)</f>
        <v>153.5</v>
      </c>
      <c r="P31" s="1" t="n">
        <f aca="false">SUM(P6:P30)</f>
        <v>531532</v>
      </c>
      <c r="Q31" s="1" t="n">
        <f aca="false">SUM(Q6:Q30)</f>
        <v>170.6</v>
      </c>
    </row>
    <row r="32" customFormat="false" ht="15" hidden="false" customHeight="false" outlineLevel="0" collapsed="false">
      <c r="A32" s="1" t="s">
        <v>462</v>
      </c>
    </row>
    <row r="33" customFormat="false" ht="15" hidden="false" customHeight="false" outlineLevel="0" collapsed="false">
      <c r="A33" s="1" t="s">
        <v>207</v>
      </c>
      <c r="B33" s="1" t="s">
        <v>208</v>
      </c>
      <c r="C33" s="1" t="s">
        <v>463</v>
      </c>
      <c r="D33" s="1" t="s">
        <v>464</v>
      </c>
      <c r="E33" s="1" t="s">
        <v>465</v>
      </c>
      <c r="F33" s="1" t="s">
        <v>466</v>
      </c>
      <c r="G33" s="1" t="s">
        <v>467</v>
      </c>
    </row>
    <row r="34" customFormat="false" ht="15" hidden="false" customHeight="false" outlineLevel="0" collapsed="false">
      <c r="A34" s="1" t="n">
        <v>1</v>
      </c>
      <c r="B34" s="1" t="s">
        <v>214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</row>
    <row r="35" customFormat="false" ht="15" hidden="false" customHeight="false" outlineLevel="0" collapsed="false">
      <c r="A35" s="1" t="n">
        <v>2</v>
      </c>
      <c r="B35" s="1" t="s">
        <v>215</v>
      </c>
      <c r="C35" s="1" t="n">
        <f aca="false">'Askar iqtisodi'!D17</f>
        <v>25</v>
      </c>
      <c r="D35" s="1" t="n">
        <f aca="false">'Askar iqtisodi'!E17</f>
        <v>10</v>
      </c>
      <c r="E35" s="1" t="n">
        <f aca="false">'Askar iqtisodi'!F17</f>
        <v>2.9</v>
      </c>
      <c r="F35" s="1" t="n">
        <f aca="false">ROUND(E35*MIN(train_coef_max,(1/occupancy_normal)^occupancy_exp),1)</f>
        <v>7.3</v>
      </c>
      <c r="G35" s="1" t="n">
        <f aca="false">ROUND(E35*train_coef_max,1)</f>
        <v>14.5</v>
      </c>
    </row>
    <row r="36" customFormat="false" ht="15" hidden="false" customHeight="false" outlineLevel="0" collapsed="false">
      <c r="A36" s="1" t="n">
        <v>3</v>
      </c>
      <c r="B36" s="1" t="s">
        <v>216</v>
      </c>
      <c r="C36" s="1" t="n">
        <f aca="false">'Askar iqtisodi'!D18</f>
        <v>53</v>
      </c>
      <c r="D36" s="1" t="n">
        <f aca="false">'Askar iqtisodi'!E18</f>
        <v>21</v>
      </c>
      <c r="E36" s="1" t="n">
        <f aca="false">'Askar iqtisodi'!F18</f>
        <v>4.2</v>
      </c>
      <c r="F36" s="1" t="n">
        <f aca="false">ROUND(E36*MIN(train_coef_max,(1/occupancy_normal)^occupancy_exp),1)</f>
        <v>10.5</v>
      </c>
      <c r="G36" s="1" t="n">
        <f aca="false">ROUND(E36*train_coef_max,1)</f>
        <v>21</v>
      </c>
    </row>
    <row r="37" customFormat="false" ht="15" hidden="false" customHeight="false" outlineLevel="0" collapsed="false">
      <c r="A37" s="1" t="n">
        <v>4</v>
      </c>
      <c r="B37" s="1" t="s">
        <v>217</v>
      </c>
      <c r="C37" s="1" t="n">
        <f aca="false">'Askar iqtisodi'!D19</f>
        <v>112</v>
      </c>
      <c r="D37" s="1" t="n">
        <f aca="false">'Askar iqtisodi'!E19</f>
        <v>45</v>
      </c>
      <c r="E37" s="1" t="n">
        <f aca="false">'Askar iqtisodi'!F19</f>
        <v>6.1</v>
      </c>
      <c r="F37" s="1" t="n">
        <f aca="false">ROUND(E37*MIN(train_coef_max,(1/occupancy_normal)^occupancy_exp),1)</f>
        <v>15.3</v>
      </c>
      <c r="G37" s="1" t="n">
        <f aca="false">ROUND(E37*train_coef_max,1)</f>
        <v>30.5</v>
      </c>
    </row>
    <row r="38" customFormat="false" ht="15" hidden="false" customHeight="false" outlineLevel="0" collapsed="false">
      <c r="A38" s="1" t="n">
        <v>5</v>
      </c>
      <c r="B38" s="1" t="s">
        <v>218</v>
      </c>
      <c r="C38" s="1" t="n">
        <f aca="false">'Askar iqtisodi'!D20</f>
        <v>236</v>
      </c>
      <c r="D38" s="1" t="n">
        <f aca="false">'Askar iqtisodi'!E20</f>
        <v>94</v>
      </c>
      <c r="E38" s="1" t="n">
        <f aca="false">'Askar iqtisodi'!F20</f>
        <v>8.9</v>
      </c>
      <c r="F38" s="1" t="n">
        <f aca="false">ROUND(E38*MIN(train_coef_max,(1/occupancy_normal)^occupancy_exp),1)</f>
        <v>22.3</v>
      </c>
      <c r="G38" s="1" t="n">
        <f aca="false">ROUND(E38*train_coef_max,1)</f>
        <v>44.5</v>
      </c>
    </row>
    <row r="39" customFormat="false" ht="15" hidden="false" customHeight="false" outlineLevel="0" collapsed="false">
      <c r="A39" s="1" t="n">
        <v>6</v>
      </c>
      <c r="B39" s="1" t="s">
        <v>219</v>
      </c>
      <c r="C39" s="1" t="n">
        <f aca="false">'Askar iqtisodi'!D21</f>
        <v>494</v>
      </c>
      <c r="D39" s="1" t="n">
        <f aca="false">'Askar iqtisodi'!E21</f>
        <v>198</v>
      </c>
      <c r="E39" s="1" t="n">
        <f aca="false">'Askar iqtisodi'!F21</f>
        <v>12.9</v>
      </c>
      <c r="F39" s="1" t="n">
        <f aca="false">ROUND(E39*MIN(train_coef_max,(1/occupancy_normal)^occupancy_exp),1)</f>
        <v>32.4</v>
      </c>
      <c r="G39" s="1" t="n">
        <f aca="false">ROUND(E39*train_coef_max,1)</f>
        <v>64.5</v>
      </c>
    </row>
    <row r="40" customFormat="false" ht="15" hidden="false" customHeight="false" outlineLevel="0" collapsed="false">
      <c r="A40" s="1" t="s">
        <v>468</v>
      </c>
    </row>
    <row r="41" customFormat="false" ht="15" hidden="false" customHeight="false" outlineLevel="0" collapsed="false">
      <c r="A41" s="1" t="s">
        <v>469</v>
      </c>
      <c r="B41" s="1" t="n">
        <f aca="false">time_coef_food_cave</f>
        <v>1</v>
      </c>
      <c r="C41" s="1" t="s">
        <v>470</v>
      </c>
    </row>
    <row r="42" customFormat="false" ht="15" hidden="false" customHeight="false" outlineLevel="0" collapsed="false">
      <c r="A42" s="1" t="s">
        <v>471</v>
      </c>
      <c r="B42" s="1" t="n">
        <f aca="false">time_coef_workshop</f>
        <v>1.2</v>
      </c>
      <c r="C42" s="1" t="s">
        <v>472</v>
      </c>
    </row>
    <row r="43" customFormat="false" ht="15" hidden="false" customHeight="false" outlineLevel="0" collapsed="false">
      <c r="A43" s="1" t="s">
        <v>473</v>
      </c>
      <c r="B43" s="1" t="n">
        <f aca="false">time_coef_scout_rock</f>
        <v>0.8</v>
      </c>
      <c r="C43" s="1" t="s">
        <v>474</v>
      </c>
    </row>
    <row r="44" customFormat="false" ht="15" hidden="false" customHeight="false" outlineLevel="0" collapsed="false">
      <c r="A44" s="1" t="s">
        <v>475</v>
      </c>
      <c r="B44" s="1" t="n">
        <f aca="false">time_coef_battle_ground</f>
        <v>1.3</v>
      </c>
      <c r="C44" s="1" t="s">
        <v>476</v>
      </c>
    </row>
    <row r="45" customFormat="false" ht="15" hidden="false" customHeight="false" outlineLevel="0" collapsed="false">
      <c r="A45" s="1" t="s">
        <v>477</v>
      </c>
      <c r="B45" s="1" t="n">
        <f aca="false">time_coef_defense_wall</f>
        <v>1.1</v>
      </c>
      <c r="C45" s="1" t="s">
        <v>478</v>
      </c>
    </row>
    <row r="46" customFormat="false" ht="15" hidden="false" customHeight="false" outlineLevel="0" collapsed="false">
      <c r="A46" s="1" t="s">
        <v>479</v>
      </c>
      <c r="B46" s="1" t="n">
        <f aca="false">time_coef_hunt_path</f>
        <v>0.7</v>
      </c>
      <c r="C46" s="1" t="s">
        <v>480</v>
      </c>
    </row>
    <row r="47" customFormat="false" ht="15" hidden="false" customHeight="false" outlineLevel="0" collapsed="false">
      <c r="A47" s="1" t="s">
        <v>481</v>
      </c>
      <c r="B47" s="1" t="n">
        <f aca="false">time_coef_hospital</f>
        <v>0.9</v>
      </c>
      <c r="C47" s="1" t="s">
        <v>482</v>
      </c>
    </row>
    <row r="48" customFormat="false" ht="15" hidden="false" customHeight="false" outlineLevel="0" collapsed="false">
      <c r="A48" s="1" t="s">
        <v>483</v>
      </c>
      <c r="B48" s="1" t="n">
        <f aca="false">time_coef_market</f>
        <v>1</v>
      </c>
      <c r="C48" s="1" t="s">
        <v>470</v>
      </c>
    </row>
    <row r="49" customFormat="false" ht="15" hidden="false" customHeight="false" outlineLevel="0" collapsed="false">
      <c r="A49" s="1" t="s">
        <v>484</v>
      </c>
    </row>
    <row r="50" customFormat="false" ht="15" hidden="false" customHeight="false" outlineLevel="0" collapsed="false">
      <c r="A50" s="1" t="s">
        <v>485</v>
      </c>
    </row>
    <row r="51" customFormat="false" ht="15" hidden="false" customHeight="false" outlineLevel="0" collapsed="false">
      <c r="A51" s="1" t="s">
        <v>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3" customFormat="false" ht="15" hidden="false" customHeight="false" outlineLevel="0" collapsed="false">
      <c r="A3" s="1" t="s">
        <v>487</v>
      </c>
    </row>
    <row r="4" customFormat="false" ht="15" hidden="false" customHeight="false" outlineLevel="0" collapsed="false">
      <c r="A4" s="1" t="s">
        <v>488</v>
      </c>
    </row>
    <row r="5" customFormat="false" ht="15" hidden="false" customHeight="false" outlineLevel="0" collapsed="false">
      <c r="A5" s="1" t="s">
        <v>489</v>
      </c>
    </row>
    <row r="6" customFormat="false" ht="15" hidden="false" customHeight="false" outlineLevel="0" collapsed="false">
      <c r="A6" s="1" t="s">
        <v>490</v>
      </c>
      <c r="B6" s="1" t="n">
        <f aca="false">fund_dau_estimate</f>
        <v>10000</v>
      </c>
    </row>
    <row r="7" customFormat="false" ht="15" hidden="false" customHeight="false" outlineLevel="0" collapsed="false">
      <c r="A7" s="1" t="s">
        <v>491</v>
      </c>
      <c r="B7" s="1" t="n">
        <f aca="false">fund_arpu_estimate</f>
        <v>0.05</v>
      </c>
    </row>
    <row r="8" customFormat="false" ht="15" hidden="false" customHeight="false" outlineLevel="0" collapsed="false">
      <c r="A8" s="1" t="s">
        <v>492</v>
      </c>
      <c r="B8" s="1" t="n">
        <f aca="false">B6*B7</f>
        <v>500</v>
      </c>
    </row>
    <row r="9" customFormat="false" ht="15" hidden="false" customHeight="false" outlineLevel="0" collapsed="false">
      <c r="A9" s="1" t="s">
        <v>493</v>
      </c>
      <c r="B9" s="1" t="n">
        <f aca="false">fund_share</f>
        <v>0.15</v>
      </c>
    </row>
    <row r="10" customFormat="false" ht="15" hidden="false" customHeight="false" outlineLevel="0" collapsed="false">
      <c r="A10" s="1" t="s">
        <v>494</v>
      </c>
      <c r="B10" s="1" t="n">
        <f aca="false">B8*B9</f>
        <v>75</v>
      </c>
    </row>
    <row r="11" customFormat="false" ht="15" hidden="false" customHeight="false" outlineLevel="0" collapsed="false">
      <c r="A11" s="1" t="s">
        <v>495</v>
      </c>
      <c r="B11" s="1" t="n">
        <f aca="false">season_days</f>
        <v>7</v>
      </c>
    </row>
    <row r="12" customFormat="false" ht="15" hidden="false" customHeight="false" outlineLevel="0" collapsed="false">
      <c r="A12" s="1" t="s">
        <v>496</v>
      </c>
      <c r="B12" s="1" t="n">
        <f aca="false">B10*B11</f>
        <v>525</v>
      </c>
    </row>
    <row r="13" customFormat="false" ht="15" hidden="false" customHeight="false" outlineLevel="0" collapsed="false">
      <c r="A13" s="1" t="s">
        <v>497</v>
      </c>
      <c r="B13" s="1" t="n">
        <f aca="false">B12*coins_per_usd</f>
        <v>525000</v>
      </c>
    </row>
    <row r="14" customFormat="false" ht="15" hidden="false" customHeight="false" outlineLevel="0" collapsed="false">
      <c r="A14" s="1" t="s">
        <v>498</v>
      </c>
      <c r="B14" s="1" t="n">
        <f aca="false">B13*season_player_cap</f>
        <v>26250</v>
      </c>
    </row>
    <row r="15" customFormat="false" ht="15" hidden="false" customHeight="false" outlineLevel="0" collapsed="false">
      <c r="A15" s="1" t="s">
        <v>499</v>
      </c>
    </row>
    <row r="16" customFormat="false" ht="15" hidden="false" customHeight="false" outlineLevel="0" collapsed="false">
      <c r="A16" s="1" t="s">
        <v>500</v>
      </c>
    </row>
    <row r="17" customFormat="false" ht="15" hidden="false" customHeight="false" outlineLevel="0" collapsed="false">
      <c r="A17" s="2" t="s">
        <v>2</v>
      </c>
      <c r="B17" s="2" t="s">
        <v>3</v>
      </c>
      <c r="C17" s="2" t="s">
        <v>501</v>
      </c>
      <c r="D17" s="2" t="s">
        <v>502</v>
      </c>
      <c r="E17" s="2" t="s">
        <v>503</v>
      </c>
      <c r="F17" s="2" t="s">
        <v>504</v>
      </c>
      <c r="G17" s="2" t="s">
        <v>505</v>
      </c>
      <c r="H17" s="2" t="s">
        <v>506</v>
      </c>
      <c r="I17" s="2" t="s">
        <v>507</v>
      </c>
      <c r="J17" s="2" t="s">
        <v>239</v>
      </c>
    </row>
    <row r="18" customFormat="false" ht="15" hidden="false" customHeight="false" outlineLevel="0" collapsed="false">
      <c r="A18" s="1" t="n">
        <v>1</v>
      </c>
      <c r="B18" s="1" t="str">
        <f aca="false">Darajalar!B6</f>
        <v>Honsyu boʻrisi</v>
      </c>
      <c r="C18" s="1" t="n">
        <f aca="false">'Umumiy bogʻlanish'!W6</f>
        <v>63</v>
      </c>
      <c r="D18" s="3" t="n">
        <v>10</v>
      </c>
      <c r="E18" s="3" t="n">
        <v>0.8</v>
      </c>
      <c r="F18" s="1" t="n">
        <f aca="false">C18*D18*E18</f>
        <v>504</v>
      </c>
      <c r="G18" s="1" t="n">
        <f aca="false">MIN(season_player_cap,F18/SUM($F$18:$F$42))</f>
        <v>4.27391015291101E-005</v>
      </c>
      <c r="H18" s="1" t="n">
        <f aca="false">ROUND(G18*$B$13,0)</f>
        <v>22</v>
      </c>
      <c r="I18" s="1" t="n">
        <f aca="false">H18/coins_per_usd</f>
        <v>0.022</v>
      </c>
      <c r="J18" s="1" t="str">
        <f aca="false">IF(G18&gt;=season_player_cap,"⚠️ Shift chegarasiga yetdi","Normal")</f>
        <v>Normal</v>
      </c>
    </row>
    <row r="19" customFormat="false" ht="15" hidden="false" customHeight="false" outlineLevel="0" collapsed="false">
      <c r="A19" s="1" t="n">
        <v>2</v>
      </c>
      <c r="B19" s="1" t="str">
        <f aca="false">Darajalar!B7</f>
        <v>Efiopiya boʻrisi</v>
      </c>
      <c r="C19" s="1" t="n">
        <f aca="false">'Umumiy bogʻlanish'!W7</f>
        <v>65</v>
      </c>
      <c r="D19" s="3" t="n">
        <v>10</v>
      </c>
      <c r="E19" s="3" t="n">
        <v>0.8</v>
      </c>
      <c r="F19" s="1" t="n">
        <f aca="false">C19*D19*E19</f>
        <v>520</v>
      </c>
      <c r="G19" s="1" t="n">
        <f aca="false">MIN(season_player_cap,F19/SUM($F$18:$F$42))</f>
        <v>4.40958984030501E-005</v>
      </c>
      <c r="H19" s="1" t="n">
        <f aca="false">ROUND(G19*$B$13,0)</f>
        <v>23</v>
      </c>
      <c r="I19" s="1" t="n">
        <f aca="false">H19/coins_per_usd</f>
        <v>0.023</v>
      </c>
      <c r="J19" s="1" t="str">
        <f aca="false">IF(G19&gt;=season_player_cap,"⚠️ Shift chegarasiga yetdi","Normal")</f>
        <v>Normal</v>
      </c>
    </row>
    <row r="20" customFormat="false" ht="15" hidden="false" customHeight="false" outlineLevel="0" collapsed="false">
      <c r="A20" s="1" t="n">
        <v>3</v>
      </c>
      <c r="B20" s="1" t="str">
        <f aca="false">Darajalar!B8</f>
        <v>Arab boʻrisi</v>
      </c>
      <c r="C20" s="1" t="n">
        <f aca="false">'Umumiy bogʻlanish'!W8</f>
        <v>66</v>
      </c>
      <c r="D20" s="3" t="n">
        <v>10</v>
      </c>
      <c r="E20" s="3" t="n">
        <v>0.8</v>
      </c>
      <c r="F20" s="1" t="n">
        <f aca="false">C20*D20*E20</f>
        <v>528</v>
      </c>
      <c r="G20" s="1" t="n">
        <f aca="false">MIN(season_player_cap,F20/SUM($F$18:$F$42))</f>
        <v>4.47742968400201E-005</v>
      </c>
      <c r="H20" s="1" t="n">
        <f aca="false">ROUND(G20*$B$13,0)</f>
        <v>24</v>
      </c>
      <c r="I20" s="1" t="n">
        <f aca="false">H20/coins_per_usd</f>
        <v>0.024</v>
      </c>
      <c r="J20" s="1" t="str">
        <f aca="false">IF(G20&gt;=season_player_cap,"⚠️ Shift chegarasiga yetdi","Normal")</f>
        <v>Normal</v>
      </c>
    </row>
    <row r="21" customFormat="false" ht="15" hidden="false" customHeight="false" outlineLevel="0" collapsed="false">
      <c r="A21" s="1" t="n">
        <v>4</v>
      </c>
      <c r="B21" s="1" t="str">
        <f aca="false">Darajalar!B9</f>
        <v>Hind boʻrisi</v>
      </c>
      <c r="C21" s="1" t="n">
        <f aca="false">'Umumiy bogʻlanish'!W9</f>
        <v>822</v>
      </c>
      <c r="D21" s="3" t="n">
        <v>10</v>
      </c>
      <c r="E21" s="3" t="n">
        <v>0.8</v>
      </c>
      <c r="F21" s="1" t="n">
        <f aca="false">C21*D21*E21</f>
        <v>6576</v>
      </c>
      <c r="G21" s="1" t="n">
        <f aca="false">MIN(season_player_cap,F21/SUM($F$18:$F$42))</f>
        <v>0.000557643515189341</v>
      </c>
      <c r="H21" s="1" t="n">
        <f aca="false">ROUND(G21*$B$13,0)</f>
        <v>293</v>
      </c>
      <c r="I21" s="1" t="n">
        <f aca="false">H21/coins_per_usd</f>
        <v>0.293</v>
      </c>
      <c r="J21" s="1" t="str">
        <f aca="false">IF(G21&gt;=season_player_cap,"⚠️ Shift chegarasiga yetdi","Normal")</f>
        <v>Normal</v>
      </c>
    </row>
    <row r="22" customFormat="false" ht="15" hidden="false" customHeight="false" outlineLevel="0" collapsed="false">
      <c r="A22" s="1" t="n">
        <v>5</v>
      </c>
      <c r="B22" s="1" t="str">
        <f aca="false">Darajalar!B10</f>
        <v>Qizil boʻri</v>
      </c>
      <c r="C22" s="1" t="n">
        <f aca="false">'Umumiy bogʻlanish'!W10</f>
        <v>1029</v>
      </c>
      <c r="D22" s="3" t="n">
        <v>10</v>
      </c>
      <c r="E22" s="3" t="n">
        <v>0.8</v>
      </c>
      <c r="F22" s="1" t="n">
        <f aca="false">C22*D22*E22</f>
        <v>8232</v>
      </c>
      <c r="G22" s="1" t="n">
        <f aca="false">MIN(season_player_cap,F22/SUM($F$18:$F$42))</f>
        <v>0.000698071991642131</v>
      </c>
      <c r="H22" s="1" t="n">
        <f aca="false">ROUND(G22*$B$13,0)</f>
        <v>366</v>
      </c>
      <c r="I22" s="1" t="n">
        <f aca="false">H22/coins_per_usd</f>
        <v>0.366</v>
      </c>
      <c r="J22" s="1" t="str">
        <f aca="false">IF(G22&gt;=season_player_cap,"⚠️ Shift chegarasiga yetdi","Normal")</f>
        <v>Normal</v>
      </c>
    </row>
    <row r="23" customFormat="false" ht="15" hidden="false" customHeight="false" outlineLevel="0" collapsed="false">
      <c r="A23" s="1" t="n">
        <v>6</v>
      </c>
      <c r="B23" s="1" t="str">
        <f aca="false">Darajalar!B11</f>
        <v>Italyan boʻrisi</v>
      </c>
      <c r="C23" s="1" t="n">
        <f aca="false">'Umumiy bogʻlanish'!W11</f>
        <v>1227</v>
      </c>
      <c r="D23" s="3" t="n">
        <v>10</v>
      </c>
      <c r="E23" s="3" t="n">
        <v>0.8</v>
      </c>
      <c r="F23" s="1" t="n">
        <f aca="false">C23*D23*E23</f>
        <v>9816</v>
      </c>
      <c r="G23" s="1" t="n">
        <f aca="false">MIN(season_player_cap,F23/SUM($F$18:$F$42))</f>
        <v>0.000832394882162192</v>
      </c>
      <c r="H23" s="1" t="n">
        <f aca="false">ROUND(G23*$B$13,0)</f>
        <v>437</v>
      </c>
      <c r="I23" s="1" t="n">
        <f aca="false">H23/coins_per_usd</f>
        <v>0.437</v>
      </c>
      <c r="J23" s="1" t="str">
        <f aca="false">IF(G23&gt;=season_player_cap,"⚠️ Shift chegarasiga yetdi","Normal")</f>
        <v>Normal</v>
      </c>
    </row>
    <row r="24" customFormat="false" ht="15" hidden="false" customHeight="false" outlineLevel="0" collapsed="false">
      <c r="A24" s="1" t="n">
        <v>7</v>
      </c>
      <c r="B24" s="1" t="str">
        <f aca="false">Darajalar!B12</f>
        <v>Meksika boʻrisi</v>
      </c>
      <c r="C24" s="1" t="n">
        <f aca="false">'Umumiy bogʻlanish'!W12</f>
        <v>1527</v>
      </c>
      <c r="D24" s="3" t="n">
        <v>10</v>
      </c>
      <c r="E24" s="3" t="n">
        <v>0.8</v>
      </c>
      <c r="F24" s="1" t="n">
        <f aca="false">C24*D24*E24</f>
        <v>12216</v>
      </c>
      <c r="G24" s="1" t="n">
        <f aca="false">MIN(season_player_cap,F24/SUM($F$18:$F$42))</f>
        <v>0.00103591441325319</v>
      </c>
      <c r="H24" s="1" t="n">
        <f aca="false">ROUND(G24*$B$13,0)</f>
        <v>544</v>
      </c>
      <c r="I24" s="1" t="n">
        <f aca="false">H24/coins_per_usd</f>
        <v>0.544</v>
      </c>
      <c r="J24" s="1" t="str">
        <f aca="false">IF(G24&gt;=season_player_cap,"⚠️ Shift chegarasiga yetdi","Normal")</f>
        <v>Normal</v>
      </c>
    </row>
    <row r="25" customFormat="false" ht="15" hidden="false" customHeight="false" outlineLevel="0" collapsed="false">
      <c r="A25" s="1" t="n">
        <v>8</v>
      </c>
      <c r="B25" s="1" t="str">
        <f aca="false">Darajalar!B13</f>
        <v>Sharqiy boʻri</v>
      </c>
      <c r="C25" s="1" t="n">
        <f aca="false">'Umumiy bogʻlanish'!W13</f>
        <v>2819</v>
      </c>
      <c r="D25" s="3" t="n">
        <v>10</v>
      </c>
      <c r="E25" s="3" t="n">
        <v>0.8</v>
      </c>
      <c r="F25" s="1" t="n">
        <f aca="false">C25*D25*E25</f>
        <v>22552</v>
      </c>
      <c r="G25" s="1" t="n">
        <f aca="false">MIN(season_player_cap,F25/SUM($F$18:$F$42))</f>
        <v>0.00191240519381843</v>
      </c>
      <c r="H25" s="1" t="n">
        <f aca="false">ROUND(G25*$B$13,0)</f>
        <v>1004</v>
      </c>
      <c r="I25" s="1" t="n">
        <f aca="false">H25/coins_per_usd</f>
        <v>1.004</v>
      </c>
      <c r="J25" s="1" t="str">
        <f aca="false">IF(G25&gt;=season_player_cap,"⚠️ Shift chegarasiga yetdi","Normal")</f>
        <v>Normal</v>
      </c>
    </row>
    <row r="26" customFormat="false" ht="15" hidden="false" customHeight="false" outlineLevel="0" collapsed="false">
      <c r="A26" s="1" t="n">
        <v>9</v>
      </c>
      <c r="B26" s="1" t="str">
        <f aca="false">Darajalar!B14</f>
        <v>Iberiya boʻrisi</v>
      </c>
      <c r="C26" s="1" t="n">
        <f aca="false">'Umumiy bogʻlanish'!W14</f>
        <v>3415</v>
      </c>
      <c r="D26" s="3" t="n">
        <v>10</v>
      </c>
      <c r="E26" s="3" t="n">
        <v>0.8</v>
      </c>
      <c r="F26" s="1" t="n">
        <f aca="false">C26*D26*E26</f>
        <v>27320</v>
      </c>
      <c r="G26" s="1" t="n">
        <f aca="false">MIN(season_player_cap,F26/SUM($F$18:$F$42))</f>
        <v>0.00231673066225255</v>
      </c>
      <c r="H26" s="1" t="n">
        <f aca="false">ROUND(G26*$B$13,0)</f>
        <v>1216</v>
      </c>
      <c r="I26" s="1" t="n">
        <f aca="false">H26/coins_per_usd</f>
        <v>1.216</v>
      </c>
      <c r="J26" s="1" t="str">
        <f aca="false">IF(G26&gt;=season_player_cap,"⚠️ Shift chegarasiga yetdi","Normal")</f>
        <v>Normal</v>
      </c>
    </row>
    <row r="27" customFormat="false" ht="15" hidden="false" customHeight="false" outlineLevel="0" collapsed="false">
      <c r="A27" s="1" t="n">
        <v>10</v>
      </c>
      <c r="B27" s="1" t="str">
        <f aca="false">Darajalar!B15</f>
        <v>Dasht boʻrisi</v>
      </c>
      <c r="C27" s="1" t="n">
        <f aca="false">'Umumiy bogʻlanish'!W15</f>
        <v>4188</v>
      </c>
      <c r="D27" s="3" t="n">
        <v>10</v>
      </c>
      <c r="E27" s="3" t="n">
        <v>0.8</v>
      </c>
      <c r="F27" s="1" t="n">
        <f aca="false">C27*D27*E27</f>
        <v>33504</v>
      </c>
      <c r="G27" s="1" t="n">
        <f aca="false">MIN(season_player_cap,F27/SUM($F$18:$F$42))</f>
        <v>0.00284113265403037</v>
      </c>
      <c r="H27" s="1" t="n">
        <f aca="false">ROUND(G27*$B$13,0)</f>
        <v>1492</v>
      </c>
      <c r="I27" s="1" t="n">
        <f aca="false">H27/coins_per_usd</f>
        <v>1.492</v>
      </c>
      <c r="J27" s="1" t="str">
        <f aca="false">IF(G27&gt;=season_player_cap,"⚠️ Shift chegarasiga yetdi","Normal")</f>
        <v>Normal</v>
      </c>
    </row>
    <row r="28" customFormat="false" ht="15" hidden="false" customHeight="false" outlineLevel="0" collapsed="false">
      <c r="A28" s="1" t="n">
        <v>11</v>
      </c>
      <c r="B28" s="1" t="str">
        <f aca="false">Darajalar!B16</f>
        <v>Himolay boʻrisi</v>
      </c>
      <c r="C28" s="1" t="n">
        <f aca="false">'Umumiy bogʻlanish'!W16</f>
        <v>5185</v>
      </c>
      <c r="D28" s="3" t="n">
        <v>10</v>
      </c>
      <c r="E28" s="3" t="n">
        <v>0.8</v>
      </c>
      <c r="F28" s="1" t="n">
        <f aca="false">C28*D28*E28</f>
        <v>41480</v>
      </c>
      <c r="G28" s="1" t="n">
        <f aca="false">MIN(season_player_cap,F28/SUM($F$18:$F$42))</f>
        <v>0.00351749589568946</v>
      </c>
      <c r="H28" s="1" t="n">
        <f aca="false">ROUND(G28*$B$13,0)</f>
        <v>1847</v>
      </c>
      <c r="I28" s="1" t="n">
        <f aca="false">H28/coins_per_usd</f>
        <v>1.847</v>
      </c>
      <c r="J28" s="1" t="str">
        <f aca="false">IF(G28&gt;=season_player_cap,"⚠️ Shift chegarasiga yetdi","Normal")</f>
        <v>Normal</v>
      </c>
    </row>
    <row r="29" customFormat="false" ht="15" hidden="false" customHeight="false" outlineLevel="0" collapsed="false">
      <c r="A29" s="1" t="n">
        <v>12</v>
      </c>
      <c r="B29" s="1" t="str">
        <f aca="false">Darajalar!B17</f>
        <v>Ezo boʻrisi</v>
      </c>
      <c r="C29" s="1" t="n">
        <f aca="false">'Umumiy bogʻlanish'!W17</f>
        <v>9152</v>
      </c>
      <c r="D29" s="3" t="n">
        <v>10</v>
      </c>
      <c r="E29" s="3" t="n">
        <v>0.8</v>
      </c>
      <c r="F29" s="1" t="n">
        <f aca="false">C29*D29*E29</f>
        <v>73216</v>
      </c>
      <c r="G29" s="1" t="n">
        <f aca="false">MIN(season_player_cap,F29/SUM($F$18:$F$42))</f>
        <v>0.00620870249514945</v>
      </c>
      <c r="H29" s="1" t="n">
        <f aca="false">ROUND(G29*$B$13,0)</f>
        <v>3260</v>
      </c>
      <c r="I29" s="1" t="n">
        <f aca="false">H29/coins_per_usd</f>
        <v>3.26</v>
      </c>
      <c r="J29" s="1" t="str">
        <f aca="false">IF(G29&gt;=season_player_cap,"⚠️ Shift chegarasiga yetdi","Normal")</f>
        <v>Normal</v>
      </c>
    </row>
    <row r="30" customFormat="false" ht="15" hidden="false" customHeight="false" outlineLevel="0" collapsed="false">
      <c r="A30" s="1" t="n">
        <v>13</v>
      </c>
      <c r="B30" s="1" t="str">
        <f aca="false">Darajalar!B18</f>
        <v>Tibet boʻrisi</v>
      </c>
      <c r="C30" s="1" t="n">
        <f aca="false">'Umumiy bogʻlanish'!W18</f>
        <v>11310</v>
      </c>
      <c r="D30" s="3" t="n">
        <v>10</v>
      </c>
      <c r="E30" s="3" t="n">
        <v>0.8</v>
      </c>
      <c r="F30" s="1" t="n">
        <f aca="false">C30*D30*E30</f>
        <v>90480</v>
      </c>
      <c r="G30" s="1" t="n">
        <f aca="false">MIN(season_player_cap,F30/SUM($F$18:$F$42))</f>
        <v>0.00767268632213071</v>
      </c>
      <c r="H30" s="1" t="n">
        <f aca="false">ROUND(G30*$B$13,0)</f>
        <v>4028</v>
      </c>
      <c r="I30" s="1" t="n">
        <f aca="false">H30/coins_per_usd</f>
        <v>4.028</v>
      </c>
      <c r="J30" s="1" t="str">
        <f aca="false">IF(G30&gt;=season_player_cap,"⚠️ Shift chegarasiga yetdi","Normal")</f>
        <v>Normal</v>
      </c>
    </row>
    <row r="31" customFormat="false" ht="15" hidden="false" customHeight="false" outlineLevel="0" collapsed="false">
      <c r="A31" s="1" t="n">
        <v>14</v>
      </c>
      <c r="B31" s="1" t="str">
        <f aca="false">Darajalar!B19</f>
        <v>Arktika boʻrisi</v>
      </c>
      <c r="C31" s="1" t="n">
        <f aca="false">'Umumiy bogʻlanish'!W19</f>
        <v>13804</v>
      </c>
      <c r="D31" s="3" t="n">
        <v>10</v>
      </c>
      <c r="E31" s="3" t="n">
        <v>0.8</v>
      </c>
      <c r="F31" s="1" t="n">
        <f aca="false">C31*D31*E31</f>
        <v>110432</v>
      </c>
      <c r="G31" s="1" t="n">
        <f aca="false">MIN(season_player_cap,F31/SUM($F$18:$F$42))</f>
        <v>0.0093646120239339</v>
      </c>
      <c r="H31" s="1" t="n">
        <f aca="false">ROUND(G31*$B$13,0)</f>
        <v>4916</v>
      </c>
      <c r="I31" s="1" t="n">
        <f aca="false">H31/coins_per_usd</f>
        <v>4.916</v>
      </c>
      <c r="J31" s="1" t="str">
        <f aca="false">IF(G31&gt;=season_player_cap,"⚠️ Shift chegarasiga yetdi","Normal")</f>
        <v>Normal</v>
      </c>
    </row>
    <row r="32" customFormat="false" ht="15" hidden="false" customHeight="false" outlineLevel="0" collapsed="false">
      <c r="A32" s="1" t="n">
        <v>15</v>
      </c>
      <c r="B32" s="1" t="str">
        <f aca="false">Darajalar!B20</f>
        <v>Buyuk tekislik boʻrisi</v>
      </c>
      <c r="C32" s="1" t="n">
        <f aca="false">'Umumiy bogʻlanish'!W20</f>
        <v>16775</v>
      </c>
      <c r="D32" s="3" t="n">
        <v>10</v>
      </c>
      <c r="E32" s="3" t="n">
        <v>0.8</v>
      </c>
      <c r="F32" s="1" t="n">
        <f aca="false">C32*D32*E32</f>
        <v>134200</v>
      </c>
      <c r="G32" s="1" t="n">
        <f aca="false">MIN(season_player_cap,F32/SUM($F$18:$F$42))</f>
        <v>0.0113801337801718</v>
      </c>
      <c r="H32" s="1" t="n">
        <f aca="false">ROUND(G32*$B$13,0)</f>
        <v>5975</v>
      </c>
      <c r="I32" s="1" t="n">
        <f aca="false">H32/coins_per_usd</f>
        <v>5.975</v>
      </c>
      <c r="J32" s="1" t="str">
        <f aca="false">IF(G32&gt;=season_player_cap,"⚠️ Shift chegarasiga yetdi","Normal")</f>
        <v>Normal</v>
      </c>
    </row>
    <row r="33" customFormat="false" ht="15" hidden="false" customHeight="false" outlineLevel="0" collapsed="false">
      <c r="A33" s="1" t="n">
        <v>16</v>
      </c>
      <c r="B33" s="1" t="str">
        <f aca="false">Darajalar!B21</f>
        <v>Yevroosiyo kulrang boʻrisi</v>
      </c>
      <c r="C33" s="1" t="n">
        <f aca="false">'Umumiy bogʻlanish'!W21</f>
        <v>29883</v>
      </c>
      <c r="D33" s="3" t="n">
        <v>10</v>
      </c>
      <c r="E33" s="3" t="n">
        <v>0.8</v>
      </c>
      <c r="F33" s="1" t="n">
        <f aca="false">C33*D33*E33</f>
        <v>239064</v>
      </c>
      <c r="G33" s="1" t="n">
        <f aca="false">MIN(season_player_cap,F33/SUM($F$18:$F$42))</f>
        <v>0.0202725804919745</v>
      </c>
      <c r="H33" s="1" t="n">
        <f aca="false">ROUND(G33*$B$13,0)</f>
        <v>10643</v>
      </c>
      <c r="I33" s="1" t="n">
        <f aca="false">H33/coins_per_usd</f>
        <v>10.643</v>
      </c>
      <c r="J33" s="1" t="str">
        <f aca="false">IF(G33&gt;=season_player_cap,"⚠️ Shift chegarasiga yetdi","Normal")</f>
        <v>Normal</v>
      </c>
    </row>
    <row r="34" customFormat="false" ht="15" hidden="false" customHeight="false" outlineLevel="0" collapsed="false">
      <c r="A34" s="1" t="n">
        <v>17</v>
      </c>
      <c r="B34" s="1" t="str">
        <f aca="false">Darajalar!B22</f>
        <v>Tundra boʻrisi</v>
      </c>
      <c r="C34" s="1" t="n">
        <f aca="false">'Umumiy bogʻlanish'!W22</f>
        <v>36669</v>
      </c>
      <c r="D34" s="3" t="n">
        <v>10</v>
      </c>
      <c r="E34" s="3" t="n">
        <v>0.8</v>
      </c>
      <c r="F34" s="1" t="n">
        <f aca="false">C34*D34*E34</f>
        <v>293352</v>
      </c>
      <c r="G34" s="1" t="n">
        <f aca="false">MIN(season_player_cap,F34/SUM($F$18:$F$42))</f>
        <v>0.024876192285253</v>
      </c>
      <c r="H34" s="1" t="n">
        <f aca="false">ROUND(G34*$B$13,0)</f>
        <v>13060</v>
      </c>
      <c r="I34" s="1" t="n">
        <f aca="false">H34/coins_per_usd</f>
        <v>13.06</v>
      </c>
      <c r="J34" s="1" t="str">
        <f aca="false">IF(G34&gt;=season_player_cap,"⚠️ Shift chegarasiga yetdi","Normal")</f>
        <v>Normal</v>
      </c>
    </row>
    <row r="35" customFormat="false" ht="15" hidden="false" customHeight="false" outlineLevel="0" collapsed="false">
      <c r="A35" s="1" t="n">
        <v>18</v>
      </c>
      <c r="B35" s="1" t="str">
        <f aca="false">Darajalar!B23</f>
        <v>Alyaska ichki boʻrisi</v>
      </c>
      <c r="C35" s="1" t="n">
        <f aca="false">'Umumiy bogʻlanish'!W23</f>
        <v>44684</v>
      </c>
      <c r="D35" s="3" t="n">
        <v>10</v>
      </c>
      <c r="E35" s="3" t="n">
        <v>0.8</v>
      </c>
      <c r="F35" s="1" t="n">
        <f aca="false">C35*D35*E35</f>
        <v>357472</v>
      </c>
      <c r="G35" s="1" t="n">
        <f aca="false">MIN(season_player_cap,F35/SUM($F$18:$F$42))</f>
        <v>0.0303135557575675</v>
      </c>
      <c r="H35" s="1" t="n">
        <f aca="false">ROUND(G35*$B$13,0)</f>
        <v>15915</v>
      </c>
      <c r="I35" s="1" t="n">
        <f aca="false">H35/coins_per_usd</f>
        <v>15.915</v>
      </c>
      <c r="J35" s="1" t="str">
        <f aca="false">IF(G35&gt;=season_player_cap,"⚠️ Shift chegarasiga yetdi","Normal")</f>
        <v>Normal</v>
      </c>
    </row>
    <row r="36" customFormat="false" ht="15" hidden="false" customHeight="false" outlineLevel="0" collapsed="false">
      <c r="A36" s="1" t="n">
        <v>19</v>
      </c>
      <c r="B36" s="1" t="str">
        <f aca="false">Darajalar!B24</f>
        <v>Makkenzi vodiysi boʻrisi</v>
      </c>
      <c r="C36" s="1" t="n">
        <f aca="false">'Umumiy bogʻlanish'!W24</f>
        <v>54816</v>
      </c>
      <c r="D36" s="3" t="n">
        <v>10</v>
      </c>
      <c r="E36" s="3" t="n">
        <v>0.8</v>
      </c>
      <c r="F36" s="1" t="n">
        <f aca="false">C36*D36*E36</f>
        <v>438528</v>
      </c>
      <c r="G36" s="1" t="n">
        <f aca="false">MIN(season_player_cap,F36/SUM($F$18:$F$42))</f>
        <v>0.0371870887209476</v>
      </c>
      <c r="H36" s="1" t="n">
        <f aca="false">ROUND(G36*$B$13,0)</f>
        <v>19523</v>
      </c>
      <c r="I36" s="1" t="n">
        <f aca="false">H36/coins_per_usd</f>
        <v>19.523</v>
      </c>
      <c r="J36" s="1" t="str">
        <f aca="false">IF(G36&gt;=season_player_cap,"⚠️ Shift chegarasiga yetdi","Normal")</f>
        <v>Normal</v>
      </c>
    </row>
    <row r="37" customFormat="false" ht="15" hidden="false" customHeight="false" outlineLevel="0" collapsed="false">
      <c r="A37" s="1" t="n">
        <v>20</v>
      </c>
      <c r="B37" s="1" t="str">
        <f aca="false">Darajalar!B25</f>
        <v>Beringiya boʻrisi</v>
      </c>
      <c r="C37" s="1" t="n">
        <f aca="false">'Umumiy bogʻlanish'!W25</f>
        <v>97283</v>
      </c>
      <c r="D37" s="3" t="n">
        <v>10</v>
      </c>
      <c r="E37" s="3" t="n">
        <v>0.8</v>
      </c>
      <c r="F37" s="1" t="n">
        <f aca="false">C37*D37*E37</f>
        <v>778264</v>
      </c>
      <c r="G37" s="1" t="n">
        <f aca="false">MIN(season_player_cap,F37/SUM($F$18:$F$42))</f>
        <v>0.05</v>
      </c>
      <c r="H37" s="1" t="n">
        <f aca="false">ROUND(G37*$B$13,0)</f>
        <v>26250</v>
      </c>
      <c r="I37" s="1" t="n">
        <f aca="false">H37/coins_per_usd</f>
        <v>26.25</v>
      </c>
      <c r="J37" s="1" t="str">
        <f aca="false">IF(G37&gt;=season_player_cap,"⚠️ Shift chegarasiga yetdi","Normal")</f>
        <v>⚠️ Shift chegarasiga yetdi</v>
      </c>
    </row>
    <row r="38" customFormat="false" ht="15" hidden="false" customHeight="false" outlineLevel="0" collapsed="false">
      <c r="A38" s="1" t="n">
        <v>21</v>
      </c>
      <c r="B38" s="1" t="str">
        <f aca="false">Darajalar!B26</f>
        <v>Dahshatli boʻri</v>
      </c>
      <c r="C38" s="1" t="n">
        <f aca="false">'Umumiy bogʻlanish'!W26</f>
        <v>119059</v>
      </c>
      <c r="D38" s="3" t="n">
        <v>10</v>
      </c>
      <c r="E38" s="3" t="n">
        <v>0.8</v>
      </c>
      <c r="F38" s="1" t="n">
        <f aca="false">C38*D38*E38</f>
        <v>952472</v>
      </c>
      <c r="G38" s="1" t="n">
        <f aca="false">MIN(season_player_cap,F38/SUM($F$18:$F$42))</f>
        <v>0.05</v>
      </c>
      <c r="H38" s="1" t="n">
        <f aca="false">ROUND(G38*$B$13,0)</f>
        <v>26250</v>
      </c>
      <c r="I38" s="1" t="n">
        <f aca="false">H38/coins_per_usd</f>
        <v>26.25</v>
      </c>
      <c r="J38" s="1" t="str">
        <f aca="false">IF(G38&gt;=season_player_cap,"⚠️ Shift chegarasiga yetdi","Normal")</f>
        <v>⚠️ Shift chegarasiga yetdi</v>
      </c>
    </row>
    <row r="39" customFormat="false" ht="15" hidden="false" customHeight="false" outlineLevel="0" collapsed="false">
      <c r="A39" s="1" t="n">
        <v>22</v>
      </c>
      <c r="B39" s="1" t="str">
        <f aca="false">Darajalar!B27</f>
        <v>Amarok</v>
      </c>
      <c r="C39" s="1" t="n">
        <f aca="false">'Umumiy bogʻlanish'!W27</f>
        <v>145183</v>
      </c>
      <c r="D39" s="3" t="n">
        <v>10</v>
      </c>
      <c r="E39" s="3" t="n">
        <v>0.8</v>
      </c>
      <c r="F39" s="1" t="n">
        <f aca="false">C39*D39*E39</f>
        <v>1161464</v>
      </c>
      <c r="G39" s="1" t="n">
        <f aca="false">MIN(season_player_cap,F39/SUM($F$18:$F$42))</f>
        <v>0.05</v>
      </c>
      <c r="H39" s="1" t="n">
        <f aca="false">ROUND(G39*$B$13,0)</f>
        <v>26250</v>
      </c>
      <c r="I39" s="1" t="n">
        <f aca="false">H39/coins_per_usd</f>
        <v>26.25</v>
      </c>
      <c r="J39" s="1" t="str">
        <f aca="false">IF(G39&gt;=season_player_cap,"⚠️ Shift chegarasiga yetdi","Normal")</f>
        <v>⚠️ Shift chegarasiga yetdi</v>
      </c>
    </row>
    <row r="40" customFormat="false" ht="15" hidden="false" customHeight="false" outlineLevel="0" collapsed="false">
      <c r="A40" s="1" t="n">
        <v>23</v>
      </c>
      <c r="B40" s="1" t="str">
        <f aca="false">Darajalar!B28</f>
        <v>Geri va Freki</v>
      </c>
      <c r="C40" s="1" t="n">
        <f aca="false">'Umumiy bogʻlanish'!W28</f>
        <v>177200</v>
      </c>
      <c r="D40" s="3" t="n">
        <v>10</v>
      </c>
      <c r="E40" s="3" t="n">
        <v>0.8</v>
      </c>
      <c r="F40" s="1" t="n">
        <f aca="false">C40*D40*E40</f>
        <v>1417600</v>
      </c>
      <c r="G40" s="1" t="n">
        <f aca="false">MIN(season_player_cap,F40/SUM($F$18:$F$42))</f>
        <v>0.05</v>
      </c>
      <c r="H40" s="1" t="n">
        <f aca="false">ROUND(G40*$B$13,0)</f>
        <v>26250</v>
      </c>
      <c r="I40" s="1" t="n">
        <f aca="false">H40/coins_per_usd</f>
        <v>26.25</v>
      </c>
      <c r="J40" s="1" t="str">
        <f aca="false">IF(G40&gt;=season_player_cap,"⚠️ Shift chegarasiga yetdi","Normal")</f>
        <v>⚠️ Shift chegarasiga yetdi</v>
      </c>
    </row>
    <row r="41" customFormat="false" ht="15" hidden="false" customHeight="false" outlineLevel="0" collapsed="false">
      <c r="A41" s="1" t="n">
        <v>24</v>
      </c>
      <c r="B41" s="1" t="str">
        <f aca="false">Darajalar!B29</f>
        <v>Fenrir</v>
      </c>
      <c r="C41" s="1" t="n">
        <f aca="false">'Umumiy bogʻlanish'!W29</f>
        <v>314073</v>
      </c>
      <c r="D41" s="3" t="n">
        <v>10</v>
      </c>
      <c r="E41" s="3" t="n">
        <v>0.8</v>
      </c>
      <c r="F41" s="1" t="n">
        <f aca="false">C41*D41*E41</f>
        <v>2512584</v>
      </c>
      <c r="G41" s="1" t="n">
        <f aca="false">MIN(season_player_cap,F41/SUM($F$18:$F$42))</f>
        <v>0.05</v>
      </c>
      <c r="H41" s="1" t="n">
        <f aca="false">ROUND(G41*$B$13,0)</f>
        <v>26250</v>
      </c>
      <c r="I41" s="1" t="n">
        <f aca="false">H41/coins_per_usd</f>
        <v>26.25</v>
      </c>
      <c r="J41" s="1" t="str">
        <f aca="false">IF(G41&gt;=season_player_cap,"⚠️ Shift chegarasiga yetdi","Normal")</f>
        <v>⚠️ Shift chegarasiga yetdi</v>
      </c>
    </row>
    <row r="42" customFormat="false" ht="15" hidden="false" customHeight="false" outlineLevel="0" collapsed="false">
      <c r="A42" s="1" t="n">
        <v>25</v>
      </c>
      <c r="B42" s="1" t="str">
        <f aca="false">Darajalar!B30</f>
        <v>Koʻk Boʻri</v>
      </c>
      <c r="C42" s="1" t="n">
        <f aca="false">'Umumiy bogʻlanish'!W30</f>
        <v>383763</v>
      </c>
      <c r="D42" s="3" t="n">
        <v>10</v>
      </c>
      <c r="E42" s="3" t="n">
        <v>0.8</v>
      </c>
      <c r="F42" s="1" t="n">
        <f aca="false">C42*D42*E42</f>
        <v>3070104</v>
      </c>
      <c r="G42" s="1" t="n">
        <f aca="false">MIN(season_player_cap,F42/SUM($F$18:$F$42))</f>
        <v>0.05</v>
      </c>
      <c r="H42" s="1" t="n">
        <f aca="false">ROUND(G42*$B$13,0)</f>
        <v>26250</v>
      </c>
      <c r="I42" s="1" t="n">
        <f aca="false">H42/coins_per_usd</f>
        <v>26.25</v>
      </c>
      <c r="J42" s="1" t="str">
        <f aca="false">IF(G42&gt;=season_player_cap,"⚠️ Shift chegarasiga yetdi","Normal")</f>
        <v>⚠️ Shift chegarasiga yetdi</v>
      </c>
    </row>
    <row r="43" customFormat="false" ht="15" hidden="false" customHeight="false" outlineLevel="0" collapsed="false">
      <c r="A43" s="1" t="s">
        <v>508</v>
      </c>
      <c r="B43" s="1"/>
      <c r="C43" s="1"/>
      <c r="D43" s="1"/>
      <c r="E43" s="1" t="s">
        <v>509</v>
      </c>
    </row>
    <row r="44" customFormat="false" ht="15" hidden="false" customHeight="false" outlineLevel="0" collapsed="false">
      <c r="A44" s="1" t="s">
        <v>239</v>
      </c>
      <c r="B44" s="1" t="s">
        <v>510</v>
      </c>
      <c r="C44" s="1" t="s">
        <v>407</v>
      </c>
      <c r="D44" s="1"/>
      <c r="E44" s="1" t="s">
        <v>511</v>
      </c>
      <c r="F44" s="1" t="s">
        <v>512</v>
      </c>
    </row>
    <row r="45" customFormat="false" ht="15" hidden="false" customHeight="false" outlineLevel="0" collapsed="false">
      <c r="A45" s="1" t="s">
        <v>513</v>
      </c>
      <c r="B45" s="3" t="n">
        <v>1</v>
      </c>
      <c r="C45" s="1" t="s">
        <v>470</v>
      </c>
      <c r="D45" s="1"/>
      <c r="E45" s="1" t="s">
        <v>514</v>
      </c>
      <c r="F45" s="1" t="s">
        <v>515</v>
      </c>
    </row>
    <row r="46" customFormat="false" ht="15" hidden="false" customHeight="false" outlineLevel="0" collapsed="false">
      <c r="A46" s="1" t="s">
        <v>516</v>
      </c>
      <c r="B46" s="3" t="n">
        <v>0.4</v>
      </c>
      <c r="C46" s="1" t="s">
        <v>517</v>
      </c>
      <c r="D46" s="1"/>
      <c r="E46" s="1" t="s">
        <v>518</v>
      </c>
      <c r="F46" s="1" t="s">
        <v>519</v>
      </c>
    </row>
    <row r="47" customFormat="false" ht="15" hidden="false" customHeight="false" outlineLevel="0" collapsed="false">
      <c r="A47" s="1" t="s">
        <v>520</v>
      </c>
      <c r="B47" s="3" t="n">
        <v>0.2</v>
      </c>
      <c r="C47" s="1" t="s">
        <v>521</v>
      </c>
      <c r="D47" s="1"/>
      <c r="E47" s="1" t="s">
        <v>522</v>
      </c>
      <c r="F47" s="1" t="s">
        <v>523</v>
      </c>
    </row>
    <row r="48" customFormat="false" ht="15" hidden="false" customHeight="false" outlineLevel="0" collapsed="false">
      <c r="A48" s="1" t="s">
        <v>524</v>
      </c>
      <c r="B48" s="3" t="n">
        <v>1.3</v>
      </c>
      <c r="C48" s="1" t="s">
        <v>525</v>
      </c>
      <c r="D48" s="1"/>
      <c r="E48" s="1" t="s">
        <v>526</v>
      </c>
      <c r="F48" s="1" t="s">
        <v>527</v>
      </c>
    </row>
    <row r="49" customFormat="false" ht="15" hidden="false" customHeight="false" outlineLevel="0" collapsed="false">
      <c r="A49" s="1" t="s">
        <v>528</v>
      </c>
      <c r="B49" s="3" t="n">
        <v>0.1</v>
      </c>
      <c r="C49" s="1" t="s">
        <v>529</v>
      </c>
      <c r="D49" s="1"/>
      <c r="E49" s="1" t="s">
        <v>530</v>
      </c>
      <c r="F49" s="1" t="s">
        <v>531</v>
      </c>
    </row>
    <row r="50" customFormat="false" ht="15" hidden="false" customHeight="false" outlineLevel="0" collapsed="false">
      <c r="A50" s="1" t="s">
        <v>532</v>
      </c>
      <c r="B50" s="1" t="n">
        <f aca="false">season_final_days_mult</f>
        <v>1.5</v>
      </c>
      <c r="C50" s="1" t="s">
        <v>533</v>
      </c>
      <c r="D50" s="1"/>
      <c r="E50" s="1" t="s">
        <v>534</v>
      </c>
      <c r="F50" s="1" t="s">
        <v>535</v>
      </c>
    </row>
    <row r="51" customFormat="false" ht="15" hidden="false" customHeight="false" outlineLevel="0" collapsed="false">
      <c r="A51" s="1" t="s">
        <v>536</v>
      </c>
      <c r="B51" s="3" t="n">
        <v>0</v>
      </c>
      <c r="C51" s="1" t="s">
        <v>537</v>
      </c>
    </row>
    <row r="52" customFormat="false" ht="15" hidden="false" customHeight="false" outlineLevel="0" collapsed="false">
      <c r="A52" s="1" t="s">
        <v>538</v>
      </c>
    </row>
    <row r="53" customFormat="false" ht="15" hidden="false" customHeight="false" outlineLevel="0" collapsed="false">
      <c r="A53" s="1" t="s">
        <v>174</v>
      </c>
      <c r="B53" s="1" t="s">
        <v>373</v>
      </c>
      <c r="C53" s="1" t="s">
        <v>539</v>
      </c>
      <c r="D53" s="1" t="s">
        <v>540</v>
      </c>
    </row>
    <row r="54" customFormat="false" ht="15" hidden="false" customHeight="false" outlineLevel="0" collapsed="false">
      <c r="A54" s="1" t="n">
        <v>1</v>
      </c>
      <c r="B54" s="1" t="s">
        <v>541</v>
      </c>
      <c r="C54" s="1" t="s">
        <v>542</v>
      </c>
      <c r="D54" s="1" t="s">
        <v>331</v>
      </c>
    </row>
    <row r="55" customFormat="false" ht="15" hidden="false" customHeight="false" outlineLevel="0" collapsed="false">
      <c r="A55" s="1" t="n">
        <v>2</v>
      </c>
      <c r="B55" s="1" t="s">
        <v>543</v>
      </c>
      <c r="C55" s="1" t="s">
        <v>544</v>
      </c>
      <c r="D55" s="1" t="s">
        <v>545</v>
      </c>
    </row>
    <row r="56" customFormat="false" ht="15" hidden="false" customHeight="false" outlineLevel="0" collapsed="false">
      <c r="A56" s="1" t="n">
        <v>3</v>
      </c>
      <c r="B56" s="1" t="s">
        <v>546</v>
      </c>
      <c r="C56" s="1" t="s">
        <v>547</v>
      </c>
      <c r="D56" s="1" t="s">
        <v>548</v>
      </c>
    </row>
    <row r="57" customFormat="false" ht="15" hidden="false" customHeight="false" outlineLevel="0" collapsed="false">
      <c r="A57" s="1" t="s">
        <v>549</v>
      </c>
    </row>
    <row r="58" customFormat="false" ht="15" hidden="false" customHeight="false" outlineLevel="0" collapsed="false">
      <c r="A58" s="1" t="s">
        <v>550</v>
      </c>
    </row>
    <row r="59" customFormat="false" ht="15" hidden="false" customHeight="false" outlineLevel="0" collapsed="false">
      <c r="A59" s="1" t="s">
        <v>551</v>
      </c>
    </row>
    <row r="60" customFormat="false" ht="15" hidden="false" customHeight="false" outlineLevel="0" collapsed="false">
      <c r="A60" s="1" t="s">
        <v>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3" customFormat="false" ht="15" hidden="false" customHeight="false" outlineLevel="0" collapsed="false">
      <c r="A3" s="1" t="s">
        <v>553</v>
      </c>
    </row>
    <row r="4" customFormat="false" ht="15" hidden="false" customHeight="false" outlineLevel="0" collapsed="false">
      <c r="A4" s="1" t="s">
        <v>554</v>
      </c>
    </row>
    <row r="5" customFormat="false" ht="15" hidden="false" customHeight="false" outlineLevel="0" collapsed="false">
      <c r="A5" s="1" t="s">
        <v>555</v>
      </c>
    </row>
    <row r="6" customFormat="false" ht="15" hidden="false" customHeight="false" outlineLevel="0" collapsed="false">
      <c r="A6" s="1" t="s">
        <v>556</v>
      </c>
      <c r="B6" s="1" t="s">
        <v>557</v>
      </c>
      <c r="C6" s="1" t="s">
        <v>558</v>
      </c>
      <c r="D6" s="1" t="s">
        <v>559</v>
      </c>
      <c r="E6" s="1" t="s">
        <v>560</v>
      </c>
    </row>
    <row r="7" customFormat="false" ht="15" hidden="false" customHeight="false" outlineLevel="0" collapsed="false">
      <c r="A7" s="1" t="s">
        <v>561</v>
      </c>
      <c r="B7" s="1" t="s">
        <v>562</v>
      </c>
      <c r="C7" s="1" t="s">
        <v>563</v>
      </c>
      <c r="D7" s="1" t="s">
        <v>564</v>
      </c>
      <c r="E7" s="1" t="s">
        <v>565</v>
      </c>
    </row>
    <row r="8" customFormat="false" ht="15" hidden="false" customHeight="false" outlineLevel="0" collapsed="false">
      <c r="A8" s="1" t="s">
        <v>566</v>
      </c>
      <c r="B8" s="1" t="s">
        <v>567</v>
      </c>
      <c r="C8" s="1" t="s">
        <v>563</v>
      </c>
      <c r="D8" s="1" t="s">
        <v>568</v>
      </c>
      <c r="E8" s="1" t="s">
        <v>569</v>
      </c>
    </row>
    <row r="9" customFormat="false" ht="15" hidden="false" customHeight="false" outlineLevel="0" collapsed="false">
      <c r="A9" s="1" t="s">
        <v>570</v>
      </c>
      <c r="B9" s="1" t="s">
        <v>571</v>
      </c>
      <c r="C9" s="1" t="s">
        <v>563</v>
      </c>
      <c r="D9" s="1" t="s">
        <v>572</v>
      </c>
      <c r="E9" s="1" t="s">
        <v>573</v>
      </c>
    </row>
    <row r="10" customFormat="false" ht="15" hidden="false" customHeight="false" outlineLevel="0" collapsed="false">
      <c r="A10" s="1" t="s">
        <v>574</v>
      </c>
      <c r="B10" s="1" t="s">
        <v>575</v>
      </c>
      <c r="C10" s="1" t="s">
        <v>331</v>
      </c>
      <c r="D10" s="1" t="s">
        <v>564</v>
      </c>
      <c r="E10" s="1" t="s">
        <v>576</v>
      </c>
    </row>
    <row r="11" customFormat="false" ht="15" hidden="false" customHeight="false" outlineLevel="0" collapsed="false">
      <c r="A11" s="1" t="s">
        <v>577</v>
      </c>
    </row>
    <row r="12" customFormat="false" ht="15" hidden="false" customHeight="false" outlineLevel="0" collapsed="false">
      <c r="A12" s="1" t="s">
        <v>578</v>
      </c>
      <c r="B12" s="1" t="s">
        <v>579</v>
      </c>
      <c r="C12" s="1" t="s">
        <v>580</v>
      </c>
      <c r="D12" s="1" t="s">
        <v>321</v>
      </c>
    </row>
    <row r="13" customFormat="false" ht="15" hidden="false" customHeight="false" outlineLevel="0" collapsed="false">
      <c r="A13" s="1" t="s">
        <v>581</v>
      </c>
      <c r="B13" s="1" t="n">
        <f aca="false">fair_pair_season_limit</f>
        <v>3</v>
      </c>
      <c r="C13" s="1" t="s">
        <v>582</v>
      </c>
      <c r="D13" s="1" t="s">
        <v>583</v>
      </c>
    </row>
    <row r="14" customFormat="false" ht="15" hidden="false" customHeight="false" outlineLevel="0" collapsed="false">
      <c r="A14" s="1" t="s">
        <v>584</v>
      </c>
      <c r="B14" s="1" t="n">
        <f aca="false">fair_closed_group_share</f>
        <v>0.6</v>
      </c>
      <c r="C14" s="1" t="s">
        <v>585</v>
      </c>
      <c r="D14" s="1" t="s">
        <v>586</v>
      </c>
    </row>
    <row r="15" customFormat="false" ht="15" hidden="false" customHeight="false" outlineLevel="0" collapsed="false">
      <c r="A15" s="1" t="s">
        <v>587</v>
      </c>
      <c r="B15" s="1" t="n">
        <f aca="false">fair_closed_group_size</f>
        <v>5</v>
      </c>
      <c r="C15" s="1" t="s">
        <v>588</v>
      </c>
      <c r="D15" s="1" t="s">
        <v>589</v>
      </c>
    </row>
    <row r="16" customFormat="false" ht="15" hidden="false" customHeight="false" outlineLevel="0" collapsed="false">
      <c r="A16" s="1" t="s">
        <v>590</v>
      </c>
      <c r="B16" s="1" t="n">
        <f aca="false">fair_min_defense_cp</f>
        <v>0.6</v>
      </c>
      <c r="C16" s="1" t="s">
        <v>591</v>
      </c>
      <c r="D16" s="1" t="s">
        <v>592</v>
      </c>
    </row>
    <row r="17" customFormat="false" ht="15" hidden="false" customHeight="false" outlineLevel="0" collapsed="false">
      <c r="A17" s="1" t="s">
        <v>593</v>
      </c>
      <c r="B17" s="1" t="n">
        <f aca="false">fair_min_rounds</f>
        <v>3</v>
      </c>
      <c r="C17" s="1" t="s">
        <v>594</v>
      </c>
      <c r="D17" s="1" t="s">
        <v>595</v>
      </c>
    </row>
    <row r="18" customFormat="false" ht="15" hidden="false" customHeight="false" outlineLevel="0" collapsed="false">
      <c r="A18" s="1" t="s">
        <v>596</v>
      </c>
      <c r="B18" s="1" t="n">
        <f aca="false">fair_min_att_loss</f>
        <v>0.15</v>
      </c>
      <c r="C18" s="1" t="s">
        <v>597</v>
      </c>
      <c r="D18" s="1" t="s">
        <v>592</v>
      </c>
    </row>
    <row r="19" customFormat="false" ht="15" hidden="false" customHeight="false" outlineLevel="0" collapsed="false">
      <c r="A19" s="1" t="s">
        <v>598</v>
      </c>
      <c r="B19" s="1" t="n">
        <f aca="false">fair_one_sided_ratio</f>
        <v>10</v>
      </c>
      <c r="C19" s="1" t="s">
        <v>599</v>
      </c>
      <c r="D19" s="1" t="s">
        <v>600</v>
      </c>
    </row>
    <row r="20" customFormat="false" ht="15" hidden="false" customHeight="false" outlineLevel="0" collapsed="false">
      <c r="A20" s="1" t="s">
        <v>601</v>
      </c>
      <c r="B20" s="1" t="n">
        <f aca="false">fair_clan_switch_d</f>
        <v>7</v>
      </c>
      <c r="C20" s="1" t="s">
        <v>602</v>
      </c>
      <c r="D20" s="1" t="s">
        <v>603</v>
      </c>
    </row>
    <row r="21" customFormat="false" ht="15" hidden="false" customHeight="false" outlineLevel="0" collapsed="false">
      <c r="A21" s="1" t="s">
        <v>526</v>
      </c>
      <c r="B21" s="1" t="n">
        <f aca="false">season_new_account_d</f>
        <v>14</v>
      </c>
      <c r="C21" s="1" t="s">
        <v>604</v>
      </c>
      <c r="D21" s="1" t="s">
        <v>603</v>
      </c>
    </row>
    <row r="22" customFormat="false" ht="15" hidden="false" customHeight="false" outlineLevel="0" collapsed="false">
      <c r="A22" s="1" t="s">
        <v>605</v>
      </c>
      <c r="B22" s="1" t="n">
        <f aca="false">fair_payout_wait_h</f>
        <v>48</v>
      </c>
      <c r="C22" s="1" t="s">
        <v>606</v>
      </c>
      <c r="D22" s="1" t="s">
        <v>607</v>
      </c>
    </row>
    <row r="23" customFormat="false" ht="15" hidden="false" customHeight="false" outlineLevel="0" collapsed="false">
      <c r="A23" s="1" t="s">
        <v>608</v>
      </c>
      <c r="B23" s="1" t="n">
        <f aca="false">fair_manual_top</f>
        <v>100</v>
      </c>
      <c r="C23" s="1" t="s">
        <v>609</v>
      </c>
      <c r="D23" s="1" t="s">
        <v>610</v>
      </c>
    </row>
    <row r="24" customFormat="false" ht="15" hidden="false" customHeight="false" outlineLevel="0" collapsed="false">
      <c r="A24" s="1" t="s">
        <v>611</v>
      </c>
      <c r="B24" s="1"/>
      <c r="C24" s="1"/>
      <c r="D24" s="1" t="s">
        <v>612</v>
      </c>
    </row>
    <row r="25" customFormat="false" ht="15" hidden="false" customHeight="false" outlineLevel="0" collapsed="false">
      <c r="A25" s="1" t="s">
        <v>613</v>
      </c>
      <c r="B25" s="1" t="s">
        <v>614</v>
      </c>
      <c r="C25" s="1" t="s">
        <v>373</v>
      </c>
    </row>
    <row r="26" customFormat="false" ht="15" hidden="false" customHeight="false" outlineLevel="0" collapsed="false">
      <c r="A26" s="1" t="s">
        <v>615</v>
      </c>
      <c r="B26" s="3" t="n">
        <v>1</v>
      </c>
      <c r="C26" s="1"/>
      <c r="D26" s="1" t="s">
        <v>616</v>
      </c>
      <c r="E26" s="1" t="s">
        <v>617</v>
      </c>
      <c r="F26" s="1" t="s">
        <v>618</v>
      </c>
    </row>
    <row r="27" customFormat="false" ht="15" hidden="false" customHeight="false" outlineLevel="0" collapsed="false">
      <c r="A27" s="1" t="s">
        <v>619</v>
      </c>
      <c r="B27" s="3" t="n">
        <v>5</v>
      </c>
      <c r="C27" s="1"/>
      <c r="D27" s="1" t="s">
        <v>620</v>
      </c>
      <c r="E27" s="1" t="s">
        <v>621</v>
      </c>
      <c r="F27" s="1" t="s">
        <v>618</v>
      </c>
    </row>
    <row r="28" customFormat="false" ht="15" hidden="false" customHeight="false" outlineLevel="0" collapsed="false">
      <c r="A28" s="1" t="s">
        <v>622</v>
      </c>
      <c r="B28" s="3" t="n">
        <v>10</v>
      </c>
      <c r="C28" s="1"/>
      <c r="D28" s="1" t="s">
        <v>623</v>
      </c>
      <c r="E28" s="1" t="s">
        <v>624</v>
      </c>
      <c r="F28" s="1" t="s">
        <v>625</v>
      </c>
    </row>
    <row r="29" customFormat="false" ht="15" hidden="false" customHeight="false" outlineLevel="0" collapsed="false">
      <c r="A29" s="1" t="s">
        <v>626</v>
      </c>
      <c r="B29" s="3" t="n">
        <v>3</v>
      </c>
      <c r="C29" s="1"/>
      <c r="D29" s="1" t="s">
        <v>627</v>
      </c>
      <c r="E29" s="1" t="s">
        <v>628</v>
      </c>
      <c r="F29" s="1" t="s">
        <v>629</v>
      </c>
    </row>
    <row r="30" customFormat="false" ht="15" hidden="false" customHeight="false" outlineLevel="0" collapsed="false">
      <c r="A30" s="1" t="s">
        <v>630</v>
      </c>
      <c r="B30" s="3" t="n">
        <v>2500</v>
      </c>
    </row>
    <row r="31" customFormat="false" ht="15" hidden="false" customHeight="false" outlineLevel="0" collapsed="false">
      <c r="A31" s="1" t="s">
        <v>631</v>
      </c>
      <c r="B31" s="3" t="n">
        <v>900</v>
      </c>
      <c r="C31" s="1"/>
      <c r="D31" s="1" t="s">
        <v>632</v>
      </c>
    </row>
    <row r="32" customFormat="false" ht="15" hidden="false" customHeight="false" outlineLevel="0" collapsed="false">
      <c r="A32" s="1" t="s">
        <v>633</v>
      </c>
      <c r="B32" s="3" t="s">
        <v>634</v>
      </c>
    </row>
    <row r="33" customFormat="false" ht="15" hidden="false" customHeight="false" outlineLevel="0" collapsed="false">
      <c r="A33" s="1" t="s">
        <v>635</v>
      </c>
      <c r="B33" s="3" t="n">
        <v>2</v>
      </c>
      <c r="C33" s="1"/>
      <c r="D33" s="1" t="s">
        <v>636</v>
      </c>
      <c r="E33" s="1" t="s">
        <v>637</v>
      </c>
    </row>
    <row r="34" customFormat="false" ht="15" hidden="false" customHeight="false" outlineLevel="0" collapsed="false">
      <c r="A34" s="1" t="s">
        <v>638</v>
      </c>
      <c r="B34" s="3" t="n">
        <v>0</v>
      </c>
      <c r="C34" s="1"/>
      <c r="D34" s="1" t="s">
        <v>639</v>
      </c>
      <c r="E34" s="1" t="s">
        <v>640</v>
      </c>
    </row>
    <row r="35" customFormat="false" ht="15" hidden="false" customHeight="false" outlineLevel="0" collapsed="false">
      <c r="A35" s="1" t="s">
        <v>604</v>
      </c>
      <c r="B35" s="3" t="n">
        <v>40</v>
      </c>
      <c r="C35" s="1"/>
      <c r="D35" s="1" t="s">
        <v>641</v>
      </c>
      <c r="E35" s="1" t="s">
        <v>642</v>
      </c>
    </row>
    <row r="36" customFormat="false" ht="15" hidden="false" customHeight="false" outlineLevel="0" collapsed="false">
      <c r="A36" s="1"/>
      <c r="B36" s="1"/>
      <c r="C36" s="1"/>
      <c r="D36" s="1" t="s">
        <v>643</v>
      </c>
      <c r="E36" s="1" t="s">
        <v>644</v>
      </c>
    </row>
    <row r="37" customFormat="false" ht="15" hidden="false" customHeight="false" outlineLevel="0" collapsed="false">
      <c r="A37" s="1" t="s">
        <v>645</v>
      </c>
      <c r="B37" s="1" t="str">
        <f aca="false">IF(B26&lt;&gt;1,"❌ Mavsum jangi emas — hissa 0",IF(B27&lt;fair_min_rounds,"❌ Raund kam — hissa 0",IF(B29/B28&lt;fair_min_att_loss,"❌ Hujumchi yoʻqotishi past — hissa 0",IF(B33&gt;fair_pair_season_limit,"❌ Juftlik chegarasi — hissa 0",IF(B34=1,"❌ Bir toʻda ichida — hissa 0",IF(B35&lt;season_new_account_d,"❌ Yangi akkaunt — mukofotsiz",IF(B30/B31&gt;fair_one_sided_ratio,"◐ Bir tomonlama jang — koeff. 0.2","✅ Hissa toʻliq hisoblanadi")))))))</f>
        <v>✅ Hissa toʻliq hisoblanadi</v>
      </c>
    </row>
    <row r="38" customFormat="false" ht="15" hidden="false" customHeight="false" outlineLevel="0" collapsed="false">
      <c r="A38" s="1" t="s">
        <v>646</v>
      </c>
    </row>
    <row r="39" customFormat="false" ht="15" hidden="false" customHeight="false" outlineLevel="0" collapsed="false">
      <c r="A39" s="1" t="s">
        <v>647</v>
      </c>
    </row>
    <row r="40" customFormat="false" ht="15" hidden="false" customHeight="false" outlineLevel="0" collapsed="false">
      <c r="A40" s="1" t="s">
        <v>648</v>
      </c>
    </row>
    <row r="41" customFormat="false" ht="15" hidden="false" customHeight="false" outlineLevel="0" collapsed="false">
      <c r="A41" s="1" t="s">
        <v>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3" customFormat="false" ht="15" hidden="false" customHeight="false" outlineLevel="0" collapsed="false">
      <c r="A3" s="1" t="s">
        <v>650</v>
      </c>
    </row>
    <row r="4" customFormat="false" ht="15" hidden="false" customHeight="false" outlineLevel="0" collapsed="false">
      <c r="A4" s="1" t="s">
        <v>651</v>
      </c>
    </row>
    <row r="5" customFormat="false" ht="15" hidden="false" customHeight="false" outlineLevel="0" collapsed="false">
      <c r="A5" s="1" t="s">
        <v>652</v>
      </c>
      <c r="B5" s="1" t="s">
        <v>2</v>
      </c>
      <c r="C5" s="1" t="s">
        <v>653</v>
      </c>
      <c r="D5" s="1" t="s">
        <v>654</v>
      </c>
      <c r="E5" s="1" t="s">
        <v>655</v>
      </c>
      <c r="F5" s="1" t="s">
        <v>465</v>
      </c>
      <c r="G5" s="1" t="s">
        <v>656</v>
      </c>
      <c r="H5" s="1" t="s">
        <v>657</v>
      </c>
    </row>
    <row r="6" customFormat="false" ht="15" hidden="false" customHeight="false" outlineLevel="0" collapsed="false">
      <c r="A6" s="1" t="n">
        <v>1</v>
      </c>
      <c r="B6" s="3" t="n">
        <v>1</v>
      </c>
      <c r="C6" s="1" t="s">
        <v>658</v>
      </c>
      <c r="D6" s="1" t="s">
        <v>659</v>
      </c>
      <c r="E6" s="1" t="s">
        <v>660</v>
      </c>
      <c r="F6" s="3" t="n">
        <v>0.5</v>
      </c>
      <c r="G6" s="1" t="s">
        <v>661</v>
      </c>
      <c r="H6" s="3" t="n">
        <v>5</v>
      </c>
    </row>
    <row r="7" customFormat="false" ht="15" hidden="false" customHeight="false" outlineLevel="0" collapsed="false">
      <c r="A7" s="1" t="n">
        <v>2</v>
      </c>
      <c r="B7" s="3" t="n">
        <v>1</v>
      </c>
      <c r="C7" s="1" t="s">
        <v>662</v>
      </c>
      <c r="D7" s="1" t="s">
        <v>663</v>
      </c>
      <c r="E7" s="1" t="s">
        <v>664</v>
      </c>
      <c r="F7" s="3" t="n">
        <v>0.5</v>
      </c>
      <c r="G7" s="1" t="s">
        <v>661</v>
      </c>
      <c r="H7" s="3" t="n">
        <v>10</v>
      </c>
    </row>
    <row r="8" customFormat="false" ht="15" hidden="false" customHeight="false" outlineLevel="0" collapsed="false">
      <c r="A8" s="1" t="n">
        <v>3</v>
      </c>
      <c r="B8" s="3" t="n">
        <v>1</v>
      </c>
      <c r="C8" s="1" t="s">
        <v>665</v>
      </c>
      <c r="D8" s="1" t="s">
        <v>666</v>
      </c>
      <c r="E8" s="1" t="s">
        <v>667</v>
      </c>
      <c r="F8" s="3" t="n">
        <v>1</v>
      </c>
      <c r="G8" s="1" t="s">
        <v>661</v>
      </c>
      <c r="H8" s="3" t="n">
        <v>15</v>
      </c>
    </row>
    <row r="9" customFormat="false" ht="15" hidden="false" customHeight="false" outlineLevel="0" collapsed="false">
      <c r="A9" s="1" t="n">
        <v>4</v>
      </c>
      <c r="B9" s="3" t="n">
        <v>2</v>
      </c>
      <c r="C9" s="1" t="s">
        <v>668</v>
      </c>
      <c r="D9" s="1" t="s">
        <v>669</v>
      </c>
      <c r="E9" s="1" t="s">
        <v>670</v>
      </c>
      <c r="F9" s="3" t="n">
        <v>1</v>
      </c>
      <c r="G9" s="1" t="s">
        <v>661</v>
      </c>
      <c r="H9" s="3" t="n">
        <v>10</v>
      </c>
    </row>
    <row r="10" customFormat="false" ht="15" hidden="false" customHeight="false" outlineLevel="0" collapsed="false">
      <c r="A10" s="1" t="n">
        <v>5</v>
      </c>
      <c r="B10" s="3" t="n">
        <v>2</v>
      </c>
      <c r="C10" s="1" t="s">
        <v>671</v>
      </c>
      <c r="D10" s="1" t="s">
        <v>672</v>
      </c>
      <c r="E10" s="1" t="s">
        <v>673</v>
      </c>
      <c r="F10" s="3" t="n">
        <v>0.5</v>
      </c>
      <c r="G10" s="1" t="s">
        <v>661</v>
      </c>
      <c r="H10" s="3" t="n">
        <v>10</v>
      </c>
    </row>
    <row r="11" customFormat="false" ht="15" hidden="false" customHeight="false" outlineLevel="0" collapsed="false">
      <c r="A11" s="1" t="n">
        <v>6</v>
      </c>
      <c r="B11" s="3" t="n">
        <v>2</v>
      </c>
      <c r="C11" s="1" t="s">
        <v>674</v>
      </c>
      <c r="D11" s="1" t="s">
        <v>675</v>
      </c>
      <c r="E11" s="1" t="s">
        <v>676</v>
      </c>
      <c r="F11" s="3" t="n">
        <v>1</v>
      </c>
      <c r="G11" s="1" t="s">
        <v>661</v>
      </c>
      <c r="H11" s="3" t="n">
        <v>10</v>
      </c>
    </row>
    <row r="12" customFormat="false" ht="15" hidden="false" customHeight="false" outlineLevel="0" collapsed="false">
      <c r="A12" s="1" t="n">
        <v>7</v>
      </c>
      <c r="B12" s="3" t="n">
        <v>2</v>
      </c>
      <c r="C12" s="1" t="s">
        <v>677</v>
      </c>
      <c r="D12" s="1" t="s">
        <v>678</v>
      </c>
      <c r="E12" s="1" t="s">
        <v>679</v>
      </c>
      <c r="F12" s="3" t="n">
        <v>0.5</v>
      </c>
      <c r="G12" s="1" t="s">
        <v>661</v>
      </c>
      <c r="H12" s="3" t="n">
        <v>10</v>
      </c>
    </row>
    <row r="13" customFormat="false" ht="15" hidden="false" customHeight="false" outlineLevel="0" collapsed="false">
      <c r="A13" s="1" t="n">
        <v>8</v>
      </c>
      <c r="B13" s="3" t="n">
        <v>3</v>
      </c>
      <c r="C13" s="1" t="s">
        <v>680</v>
      </c>
      <c r="D13" s="1" t="s">
        <v>681</v>
      </c>
      <c r="E13" s="1" t="s">
        <v>682</v>
      </c>
      <c r="F13" s="3" t="n">
        <v>1</v>
      </c>
      <c r="G13" s="1" t="s">
        <v>661</v>
      </c>
      <c r="H13" s="3" t="n">
        <v>20</v>
      </c>
    </row>
    <row r="14" customFormat="false" ht="15" hidden="false" customHeight="false" outlineLevel="0" collapsed="false">
      <c r="A14" s="1" t="n">
        <v>9</v>
      </c>
      <c r="B14" s="3" t="n">
        <v>3</v>
      </c>
      <c r="C14" s="1" t="s">
        <v>683</v>
      </c>
      <c r="D14" s="1" t="s">
        <v>684</v>
      </c>
      <c r="E14" s="1" t="s">
        <v>685</v>
      </c>
      <c r="F14" s="3" t="n">
        <v>1</v>
      </c>
      <c r="G14" s="1" t="s">
        <v>661</v>
      </c>
      <c r="H14" s="3" t="n">
        <v>20</v>
      </c>
    </row>
    <row r="15" customFormat="false" ht="15" hidden="false" customHeight="false" outlineLevel="0" collapsed="false">
      <c r="A15" s="1" t="n">
        <v>10</v>
      </c>
      <c r="B15" s="3" t="n">
        <v>3</v>
      </c>
      <c r="C15" s="1" t="s">
        <v>686</v>
      </c>
      <c r="D15" s="1" t="s">
        <v>687</v>
      </c>
      <c r="E15" s="1" t="s">
        <v>660</v>
      </c>
      <c r="F15" s="3" t="n">
        <v>1</v>
      </c>
      <c r="G15" s="1" t="s">
        <v>661</v>
      </c>
      <c r="H15" s="3" t="n">
        <v>20</v>
      </c>
    </row>
    <row r="16" customFormat="false" ht="15" hidden="false" customHeight="false" outlineLevel="0" collapsed="false">
      <c r="A16" s="1" t="n">
        <v>11</v>
      </c>
      <c r="B16" s="3" t="n">
        <v>4</v>
      </c>
      <c r="C16" s="1" t="s">
        <v>688</v>
      </c>
      <c r="D16" s="1" t="s">
        <v>689</v>
      </c>
      <c r="E16" s="1" t="s">
        <v>690</v>
      </c>
      <c r="F16" s="3" t="n">
        <v>0.5</v>
      </c>
      <c r="G16" s="1" t="s">
        <v>661</v>
      </c>
      <c r="H16" s="3" t="n">
        <v>20</v>
      </c>
    </row>
    <row r="17" customFormat="false" ht="15" hidden="false" customHeight="false" outlineLevel="0" collapsed="false">
      <c r="A17" s="1" t="n">
        <v>12</v>
      </c>
      <c r="B17" s="3" t="n">
        <v>4</v>
      </c>
      <c r="C17" s="1" t="s">
        <v>691</v>
      </c>
      <c r="D17" s="1" t="s">
        <v>692</v>
      </c>
      <c r="E17" s="1" t="s">
        <v>693</v>
      </c>
      <c r="F17" s="3" t="n">
        <v>1</v>
      </c>
      <c r="G17" s="1" t="s">
        <v>661</v>
      </c>
      <c r="H17" s="3" t="n">
        <v>25</v>
      </c>
    </row>
    <row r="18" customFormat="false" ht="15" hidden="false" customHeight="false" outlineLevel="0" collapsed="false">
      <c r="A18" s="1" t="n">
        <v>13</v>
      </c>
      <c r="B18" s="3" t="n">
        <v>4</v>
      </c>
      <c r="C18" s="1" t="s">
        <v>694</v>
      </c>
      <c r="D18" s="1" t="s">
        <v>695</v>
      </c>
      <c r="E18" s="1" t="s">
        <v>696</v>
      </c>
      <c r="F18" s="3" t="n">
        <v>0.5</v>
      </c>
      <c r="G18" s="1" t="s">
        <v>697</v>
      </c>
      <c r="H18" s="3" t="n">
        <v>25</v>
      </c>
    </row>
    <row r="19" customFormat="false" ht="15" hidden="false" customHeight="false" outlineLevel="0" collapsed="false">
      <c r="A19" s="1" t="n">
        <v>14</v>
      </c>
      <c r="B19" s="3" t="n">
        <v>4</v>
      </c>
      <c r="C19" s="1" t="s">
        <v>698</v>
      </c>
      <c r="D19" s="1" t="s">
        <v>699</v>
      </c>
      <c r="E19" s="1" t="s">
        <v>700</v>
      </c>
      <c r="F19" s="3" t="n">
        <v>0.5</v>
      </c>
      <c r="G19" s="1" t="s">
        <v>697</v>
      </c>
      <c r="H19" s="3" t="n">
        <v>25</v>
      </c>
    </row>
    <row r="20" customFormat="false" ht="15" hidden="false" customHeight="false" outlineLevel="0" collapsed="false">
      <c r="A20" s="1" t="n">
        <v>15</v>
      </c>
      <c r="B20" s="3" t="n">
        <v>4</v>
      </c>
      <c r="C20" s="1" t="s">
        <v>701</v>
      </c>
      <c r="D20" s="1" t="s">
        <v>702</v>
      </c>
      <c r="E20" s="1" t="s">
        <v>703</v>
      </c>
      <c r="F20" s="3" t="n">
        <v>1</v>
      </c>
      <c r="G20" s="1" t="s">
        <v>697</v>
      </c>
      <c r="H20" s="3" t="n">
        <v>25</v>
      </c>
    </row>
    <row r="21" customFormat="false" ht="15" hidden="false" customHeight="false" outlineLevel="0" collapsed="false">
      <c r="A21" s="1" t="n">
        <v>16</v>
      </c>
      <c r="B21" s="3" t="n">
        <v>4</v>
      </c>
      <c r="C21" s="1" t="s">
        <v>704</v>
      </c>
      <c r="D21" s="1" t="s">
        <v>705</v>
      </c>
      <c r="E21" s="1" t="s">
        <v>706</v>
      </c>
      <c r="F21" s="3" t="n">
        <v>1.5</v>
      </c>
      <c r="G21" s="1" t="s">
        <v>661</v>
      </c>
      <c r="H21" s="3" t="n">
        <v>30</v>
      </c>
    </row>
    <row r="22" customFormat="false" ht="15" hidden="false" customHeight="false" outlineLevel="0" collapsed="false">
      <c r="A22" s="1" t="n">
        <v>17</v>
      </c>
      <c r="B22" s="3" t="n">
        <v>5</v>
      </c>
      <c r="C22" s="1" t="s">
        <v>707</v>
      </c>
      <c r="D22" s="1" t="s">
        <v>708</v>
      </c>
      <c r="E22" s="1" t="s">
        <v>709</v>
      </c>
      <c r="F22" s="3" t="n">
        <v>0.5</v>
      </c>
      <c r="G22" s="1" t="s">
        <v>697</v>
      </c>
      <c r="H22" s="3" t="n">
        <v>10</v>
      </c>
    </row>
    <row r="23" customFormat="false" ht="15" hidden="false" customHeight="false" outlineLevel="0" collapsed="false">
      <c r="A23" s="1" t="n">
        <v>18</v>
      </c>
      <c r="B23" s="3" t="n">
        <v>5</v>
      </c>
      <c r="C23" s="1" t="s">
        <v>710</v>
      </c>
      <c r="D23" s="1" t="s">
        <v>711</v>
      </c>
      <c r="E23" s="1" t="s">
        <v>712</v>
      </c>
      <c r="F23" s="3" t="n">
        <v>0.5</v>
      </c>
      <c r="G23" s="1" t="s">
        <v>697</v>
      </c>
      <c r="H23" s="3" t="n">
        <v>10</v>
      </c>
    </row>
    <row r="24" customFormat="false" ht="15" hidden="false" customHeight="false" outlineLevel="0" collapsed="false">
      <c r="A24" s="1" t="n">
        <v>19</v>
      </c>
      <c r="B24" s="3" t="n">
        <v>5</v>
      </c>
      <c r="C24" s="1" t="s">
        <v>713</v>
      </c>
      <c r="D24" s="1" t="s">
        <v>714</v>
      </c>
      <c r="E24" s="1" t="s">
        <v>715</v>
      </c>
      <c r="F24" s="3" t="n">
        <v>0.5</v>
      </c>
      <c r="G24" s="1" t="s">
        <v>697</v>
      </c>
      <c r="H24" s="3" t="n">
        <v>10</v>
      </c>
    </row>
    <row r="25" customFormat="false" ht="15" hidden="false" customHeight="false" outlineLevel="0" collapsed="false">
      <c r="A25" s="1" t="n">
        <v>20</v>
      </c>
      <c r="B25" s="3" t="n">
        <v>5</v>
      </c>
      <c r="C25" s="1" t="s">
        <v>716</v>
      </c>
      <c r="D25" s="1" t="s">
        <v>717</v>
      </c>
      <c r="E25" s="1" t="s">
        <v>718</v>
      </c>
      <c r="F25" s="3" t="n">
        <v>0.5</v>
      </c>
      <c r="G25" s="1" t="s">
        <v>661</v>
      </c>
      <c r="H25" s="3" t="n">
        <v>20</v>
      </c>
    </row>
    <row r="26" customFormat="false" ht="15" hidden="false" customHeight="false" outlineLevel="0" collapsed="false">
      <c r="A26" s="1"/>
      <c r="B26" s="1"/>
      <c r="C26" s="1" t="s">
        <v>719</v>
      </c>
      <c r="D26" s="1"/>
      <c r="E26" s="1"/>
      <c r="F26" s="1" t="n">
        <f aca="false">SUM(F6:F25)</f>
        <v>15</v>
      </c>
      <c r="G26" s="1" t="str">
        <f aca="false">IF(F26&lt;=tutorial_target_min,"✅ Maqsadga mos","⚠️ Maqsaddan uzoq")</f>
        <v>✅ Maqsadga mos</v>
      </c>
      <c r="H26" s="4" t="n">
        <f aca="false">SUM(H6:H25)</f>
        <v>330</v>
      </c>
    </row>
    <row r="27" customFormat="false" ht="15" hidden="false" customHeight="false" outlineLevel="0" collapsed="false">
      <c r="A27" s="1" t="s">
        <v>720</v>
      </c>
    </row>
    <row r="28" customFormat="false" ht="15" hidden="false" customHeight="false" outlineLevel="0" collapsed="false">
      <c r="A28" s="1" t="s">
        <v>721</v>
      </c>
      <c r="B28" s="1"/>
      <c r="C28" s="1" t="s">
        <v>722</v>
      </c>
    </row>
    <row r="29" customFormat="false" ht="15" hidden="false" customHeight="false" outlineLevel="0" collapsed="false">
      <c r="A29" s="1" t="s">
        <v>723</v>
      </c>
      <c r="B29" s="1"/>
      <c r="C29" s="1" t="s">
        <v>724</v>
      </c>
    </row>
    <row r="30" customFormat="false" ht="15" hidden="false" customHeight="false" outlineLevel="0" collapsed="false">
      <c r="A30" s="1" t="s">
        <v>725</v>
      </c>
      <c r="B30" s="1"/>
      <c r="C30" s="1" t="s">
        <v>726</v>
      </c>
    </row>
    <row r="31" customFormat="false" ht="15" hidden="false" customHeight="false" outlineLevel="0" collapsed="false">
      <c r="A31" s="1" t="s">
        <v>727</v>
      </c>
      <c r="B31" s="1"/>
      <c r="C31" s="1" t="s">
        <v>728</v>
      </c>
    </row>
    <row r="32" customFormat="false" ht="15" hidden="false" customHeight="false" outlineLevel="0" collapsed="false">
      <c r="A32" s="1" t="s">
        <v>729</v>
      </c>
      <c r="B32" s="1"/>
      <c r="C32" s="1" t="s">
        <v>730</v>
      </c>
    </row>
    <row r="33" customFormat="false" ht="15" hidden="false" customHeight="false" outlineLevel="0" collapsed="false">
      <c r="A33" s="1" t="s">
        <v>731</v>
      </c>
      <c r="B33" s="1"/>
      <c r="C33" s="1" t="s">
        <v>732</v>
      </c>
    </row>
    <row r="34" customFormat="false" ht="15" hidden="false" customHeight="false" outlineLevel="0" collapsed="false">
      <c r="A34" s="1" t="s">
        <v>733</v>
      </c>
      <c r="B34" s="1"/>
      <c r="C34" s="1" t="s">
        <v>734</v>
      </c>
    </row>
    <row r="35" customFormat="false" ht="15" hidden="false" customHeight="false" outlineLevel="0" collapsed="false">
      <c r="A35" s="1" t="s">
        <v>735</v>
      </c>
      <c r="B35" s="1"/>
      <c r="C35" s="1" t="s">
        <v>736</v>
      </c>
    </row>
    <row r="36" customFormat="false" ht="15" hidden="false" customHeight="false" outlineLevel="0" collapsed="false">
      <c r="A36" s="1" t="s">
        <v>737</v>
      </c>
      <c r="B36" s="1"/>
      <c r="C36" s="1" t="s">
        <v>738</v>
      </c>
    </row>
    <row r="37" customFormat="false" ht="15" hidden="false" customHeight="false" outlineLevel="0" collapsed="false">
      <c r="A37" s="1" t="s">
        <v>739</v>
      </c>
      <c r="B37" s="1"/>
      <c r="C37" s="1" t="s">
        <v>740</v>
      </c>
    </row>
    <row r="38" customFormat="false" ht="15" hidden="false" customHeight="false" outlineLevel="0" collapsed="false">
      <c r="A38" s="1" t="s">
        <v>741</v>
      </c>
    </row>
    <row r="39" customFormat="false" ht="15" hidden="false" customHeight="false" outlineLevel="0" collapsed="false">
      <c r="A39" s="1" t="s">
        <v>742</v>
      </c>
    </row>
    <row r="40" customFormat="false" ht="15" hidden="false" customHeight="false" outlineLevel="0" collapsed="false">
      <c r="A40" s="1" t="s">
        <v>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3" customFormat="false" ht="15" hidden="false" customHeight="false" outlineLevel="0" collapsed="false">
      <c r="A3" s="1" t="s">
        <v>744</v>
      </c>
    </row>
    <row r="4" customFormat="false" ht="15" hidden="false" customHeight="false" outlineLevel="0" collapsed="false">
      <c r="A4" s="1" t="s">
        <v>745</v>
      </c>
    </row>
    <row r="5" customFormat="false" ht="15" hidden="false" customHeight="false" outlineLevel="0" collapsed="false">
      <c r="A5" s="1" t="s">
        <v>746</v>
      </c>
    </row>
    <row r="6" customFormat="false" ht="15" hidden="false" customHeight="false" outlineLevel="0" collapsed="false">
      <c r="A6" s="2" t="s">
        <v>2</v>
      </c>
      <c r="B6" s="2" t="s">
        <v>143</v>
      </c>
      <c r="C6" s="2" t="s">
        <v>747</v>
      </c>
      <c r="D6" s="2" t="s">
        <v>748</v>
      </c>
      <c r="E6" s="2" t="s">
        <v>749</v>
      </c>
      <c r="F6" s="2" t="s">
        <v>750</v>
      </c>
      <c r="G6" s="2" t="s">
        <v>751</v>
      </c>
      <c r="H6" s="2" t="s">
        <v>239</v>
      </c>
    </row>
    <row r="7" customFormat="false" ht="15" hidden="false" customHeight="false" outlineLevel="0" collapsed="false">
      <c r="A7" s="1" t="n">
        <v>1</v>
      </c>
      <c r="B7" s="1" t="n">
        <f aca="false">ROUND(prod_base*prod_growth^(A7-1)*24,0)</f>
        <v>480</v>
      </c>
      <c r="C7" s="1" t="n">
        <f aca="false">ROUND(B7*quest_daily_cap,0)</f>
        <v>72</v>
      </c>
      <c r="D7" s="1" t="n">
        <f aca="false">ROUND(C7/quest_daily_count,0)</f>
        <v>18</v>
      </c>
      <c r="E7" s="1" t="n">
        <f aca="false">ROUND(B7*quest_weekly_cap,0)</f>
        <v>192</v>
      </c>
      <c r="F7" s="1" t="n">
        <f aca="false">ROUND(B7*quest_milestone_cap,0)</f>
        <v>240</v>
      </c>
      <c r="G7" s="1" t="n">
        <f aca="false">(C7+E7/7)/B7</f>
        <v>0.207142857142857</v>
      </c>
      <c r="H7" s="1" t="str">
        <f aca="false">IF(G7&lt;=quest_safe_cap,"✅ Xavfsiz","⚠️ Juda koʻp mukofot")</f>
        <v>✅ Xavfsiz</v>
      </c>
    </row>
    <row r="8" customFormat="false" ht="15" hidden="false" customHeight="false" outlineLevel="0" collapsed="false">
      <c r="A8" s="1" t="n">
        <v>2</v>
      </c>
      <c r="B8" s="1" t="n">
        <f aca="false">ROUND(prod_base*prod_growth^(A8-1)*24,0)</f>
        <v>586</v>
      </c>
      <c r="C8" s="1" t="n">
        <f aca="false">ROUND(B8*quest_daily_cap,0)</f>
        <v>88</v>
      </c>
      <c r="D8" s="1" t="n">
        <f aca="false">ROUND(C8/quest_daily_count,0)</f>
        <v>22</v>
      </c>
      <c r="E8" s="1" t="n">
        <f aca="false">ROUND(B8*quest_weekly_cap,0)</f>
        <v>234</v>
      </c>
      <c r="F8" s="1" t="n">
        <f aca="false">ROUND(B8*quest_milestone_cap,0)</f>
        <v>293</v>
      </c>
      <c r="G8" s="1" t="n">
        <f aca="false">(C8+E8/7)/B8</f>
        <v>0.207215992198927</v>
      </c>
      <c r="H8" s="1" t="str">
        <f aca="false">IF(G8&lt;=quest_safe_cap,"✅ Xavfsiz","⚠️ Juda koʻp mukofot")</f>
        <v>✅ Xavfsiz</v>
      </c>
    </row>
    <row r="9" customFormat="false" ht="15" hidden="false" customHeight="false" outlineLevel="0" collapsed="false">
      <c r="A9" s="1" t="n">
        <v>3</v>
      </c>
      <c r="B9" s="1" t="n">
        <f aca="false">ROUND(prod_base*prod_growth^(A9-1)*24,0)</f>
        <v>714</v>
      </c>
      <c r="C9" s="1" t="n">
        <f aca="false">ROUND(B9*quest_daily_cap,0)</f>
        <v>107</v>
      </c>
      <c r="D9" s="1" t="n">
        <f aca="false">ROUND(C9/quest_daily_count,0)</f>
        <v>27</v>
      </c>
      <c r="E9" s="1" t="n">
        <f aca="false">ROUND(B9*quest_weekly_cap,0)</f>
        <v>286</v>
      </c>
      <c r="F9" s="1" t="n">
        <f aca="false">ROUND(B9*quest_milestone_cap,0)</f>
        <v>357</v>
      </c>
      <c r="G9" s="1" t="n">
        <f aca="false">(C9+E9/7)/B9</f>
        <v>0.207082833133253</v>
      </c>
      <c r="H9" s="1" t="str">
        <f aca="false">IF(G9&lt;=quest_safe_cap,"✅ Xavfsiz","⚠️ Juda koʻp mukofot")</f>
        <v>✅ Xavfsiz</v>
      </c>
    </row>
    <row r="10" customFormat="false" ht="15" hidden="false" customHeight="false" outlineLevel="0" collapsed="false">
      <c r="A10" s="1" t="n">
        <v>4</v>
      </c>
      <c r="B10" s="1" t="n">
        <f aca="false">ROUND(prod_base*prod_growth^(A10-1)*24,0)</f>
        <v>872</v>
      </c>
      <c r="C10" s="1" t="n">
        <f aca="false">ROUND(B10*quest_daily_cap,0)</f>
        <v>131</v>
      </c>
      <c r="D10" s="1" t="n">
        <f aca="false">ROUND(C10/quest_daily_count,0)</f>
        <v>33</v>
      </c>
      <c r="E10" s="1" t="n">
        <f aca="false">ROUND(B10*quest_weekly_cap,0)</f>
        <v>349</v>
      </c>
      <c r="F10" s="1" t="n">
        <f aca="false">ROUND(B10*quest_milestone_cap,0)</f>
        <v>436</v>
      </c>
      <c r="G10" s="1" t="n">
        <f aca="false">(C10+E10/7)/B10</f>
        <v>0.20740498034076</v>
      </c>
      <c r="H10" s="1" t="str">
        <f aca="false">IF(G10&lt;=quest_safe_cap,"✅ Xavfsiz","⚠️ Juda koʻp mukofot")</f>
        <v>✅ Xavfsiz</v>
      </c>
    </row>
    <row r="11" customFormat="false" ht="15" hidden="false" customHeight="false" outlineLevel="0" collapsed="false">
      <c r="A11" s="1" t="n">
        <v>5</v>
      </c>
      <c r="B11" s="1" t="n">
        <f aca="false">ROUND(prod_base*prod_growth^(A11-1)*24,0)</f>
        <v>1063</v>
      </c>
      <c r="C11" s="1" t="n">
        <f aca="false">ROUND(B11*quest_daily_cap,0)</f>
        <v>159</v>
      </c>
      <c r="D11" s="1" t="n">
        <f aca="false">ROUND(C11/quest_daily_count,0)</f>
        <v>40</v>
      </c>
      <c r="E11" s="1" t="n">
        <f aca="false">ROUND(B11*quest_weekly_cap,0)</f>
        <v>425</v>
      </c>
      <c r="F11" s="1" t="n">
        <f aca="false">ROUND(B11*quest_milestone_cap,0)</f>
        <v>532</v>
      </c>
      <c r="G11" s="1" t="n">
        <f aca="false">(C11+E11/7)/B11</f>
        <v>0.206692648837522</v>
      </c>
      <c r="H11" s="1" t="str">
        <f aca="false">IF(G11&lt;=quest_safe_cap,"✅ Xavfsiz","⚠️ Juda koʻp mukofot")</f>
        <v>✅ Xavfsiz</v>
      </c>
    </row>
    <row r="12" customFormat="false" ht="15" hidden="false" customHeight="false" outlineLevel="0" collapsed="false">
      <c r="A12" s="1" t="n">
        <v>6</v>
      </c>
      <c r="B12" s="1" t="n">
        <f aca="false">ROUND(prod_base*prod_growth^(A12-1)*24,0)</f>
        <v>1297</v>
      </c>
      <c r="C12" s="1" t="n">
        <f aca="false">ROUND(B12*quest_daily_cap,0)</f>
        <v>195</v>
      </c>
      <c r="D12" s="1" t="n">
        <f aca="false">ROUND(C12/quest_daily_count,0)</f>
        <v>49</v>
      </c>
      <c r="E12" s="1" t="n">
        <f aca="false">ROUND(B12*quest_weekly_cap,0)</f>
        <v>519</v>
      </c>
      <c r="F12" s="1" t="n">
        <f aca="false">ROUND(B12*quest_milestone_cap,0)</f>
        <v>649</v>
      </c>
      <c r="G12" s="1" t="n">
        <f aca="false">(C12+E12/7)/B12</f>
        <v>0.207511840511069</v>
      </c>
      <c r="H12" s="1" t="str">
        <f aca="false">IF(G12&lt;=quest_safe_cap,"✅ Xavfsiz","⚠️ Juda koʻp mukofot")</f>
        <v>✅ Xavfsiz</v>
      </c>
    </row>
    <row r="13" customFormat="false" ht="15" hidden="false" customHeight="false" outlineLevel="0" collapsed="false">
      <c r="A13" s="1" t="n">
        <v>7</v>
      </c>
      <c r="B13" s="1" t="n">
        <f aca="false">ROUND(prod_base*prod_growth^(A13-1)*24,0)</f>
        <v>1583</v>
      </c>
      <c r="C13" s="1" t="n">
        <f aca="false">ROUND(B13*quest_daily_cap,0)</f>
        <v>237</v>
      </c>
      <c r="D13" s="1" t="n">
        <f aca="false">ROUND(C13/quest_daily_count,0)</f>
        <v>59</v>
      </c>
      <c r="E13" s="1" t="n">
        <f aca="false">ROUND(B13*quest_weekly_cap,0)</f>
        <v>633</v>
      </c>
      <c r="F13" s="1" t="n">
        <f aca="false">ROUND(B13*quest_milestone_cap,0)</f>
        <v>792</v>
      </c>
      <c r="G13" s="1" t="n">
        <f aca="false">(C13+E13/7)/B13</f>
        <v>0.206840537857594</v>
      </c>
      <c r="H13" s="1" t="str">
        <f aca="false">IF(G13&lt;=quest_safe_cap,"✅ Xavfsiz","⚠️ Juda koʻp mukofot")</f>
        <v>✅ Xavfsiz</v>
      </c>
    </row>
    <row r="14" customFormat="false" ht="15" hidden="false" customHeight="false" outlineLevel="0" collapsed="false">
      <c r="A14" s="1" t="n">
        <v>8</v>
      </c>
      <c r="B14" s="1" t="n">
        <f aca="false">ROUND(prod_base*prod_growth^(A14-1)*24,0)</f>
        <v>1931</v>
      </c>
      <c r="C14" s="1" t="n">
        <f aca="false">ROUND(B14*quest_daily_cap,0)</f>
        <v>290</v>
      </c>
      <c r="D14" s="1" t="n">
        <f aca="false">ROUND(C14/quest_daily_count,0)</f>
        <v>73</v>
      </c>
      <c r="E14" s="1" t="n">
        <f aca="false">ROUND(B14*quest_weekly_cap,0)</f>
        <v>772</v>
      </c>
      <c r="F14" s="1" t="n">
        <f aca="false">ROUND(B14*quest_milestone_cap,0)</f>
        <v>966</v>
      </c>
      <c r="G14" s="1" t="n">
        <f aca="false">(C14+E14/7)/B14</f>
        <v>0.207294518014352</v>
      </c>
      <c r="H14" s="1" t="str">
        <f aca="false">IF(G14&lt;=quest_safe_cap,"✅ Xavfsiz","⚠️ Juda koʻp mukofot")</f>
        <v>✅ Xavfsiz</v>
      </c>
    </row>
    <row r="15" customFormat="false" ht="15" hidden="false" customHeight="false" outlineLevel="0" collapsed="false">
      <c r="A15" s="1" t="n">
        <v>9</v>
      </c>
      <c r="B15" s="1" t="n">
        <f aca="false">ROUND(prod_base*prod_growth^(A15-1)*24,0)</f>
        <v>2356</v>
      </c>
      <c r="C15" s="1" t="n">
        <f aca="false">ROUND(B15*quest_daily_cap,0)</f>
        <v>353</v>
      </c>
      <c r="D15" s="1" t="n">
        <f aca="false">ROUND(C15/quest_daily_count,0)</f>
        <v>88</v>
      </c>
      <c r="E15" s="1" t="n">
        <f aca="false">ROUND(B15*quest_weekly_cap,0)</f>
        <v>942</v>
      </c>
      <c r="F15" s="1" t="n">
        <f aca="false">ROUND(B15*quest_milestone_cap,0)</f>
        <v>1178</v>
      </c>
      <c r="G15" s="1" t="n">
        <f aca="false">(C15+E15/7)/B15</f>
        <v>0.206948823672083</v>
      </c>
      <c r="H15" s="1" t="str">
        <f aca="false">IF(G15&lt;=quest_safe_cap,"✅ Xavfsiz","⚠️ Juda koʻp mukofot")</f>
        <v>✅ Xavfsiz</v>
      </c>
    </row>
    <row r="16" customFormat="false" ht="15" hidden="false" customHeight="false" outlineLevel="0" collapsed="false">
      <c r="A16" s="1" t="n">
        <v>10</v>
      </c>
      <c r="B16" s="1" t="n">
        <f aca="false">ROUND(prod_base*prod_growth^(A16-1)*24,0)</f>
        <v>2874</v>
      </c>
      <c r="C16" s="1" t="n">
        <f aca="false">ROUND(B16*quest_daily_cap,0)</f>
        <v>431</v>
      </c>
      <c r="D16" s="1" t="n">
        <f aca="false">ROUND(C16/quest_daily_count,0)</f>
        <v>108</v>
      </c>
      <c r="E16" s="1" t="n">
        <f aca="false">ROUND(B16*quest_weekly_cap,0)</f>
        <v>1150</v>
      </c>
      <c r="F16" s="1" t="n">
        <f aca="false">ROUND(B16*quest_milestone_cap,0)</f>
        <v>1437</v>
      </c>
      <c r="G16" s="1" t="n">
        <f aca="false">(C16+E16/7)/B16</f>
        <v>0.20712794512377</v>
      </c>
      <c r="H16" s="1" t="str">
        <f aca="false">IF(G16&lt;=quest_safe_cap,"✅ Xavfsiz","⚠️ Juda koʻp mukofot")</f>
        <v>✅ Xavfsiz</v>
      </c>
    </row>
    <row r="17" customFormat="false" ht="15" hidden="false" customHeight="false" outlineLevel="0" collapsed="false">
      <c r="A17" s="1" t="n">
        <v>11</v>
      </c>
      <c r="B17" s="1" t="n">
        <f aca="false">ROUND(prod_base*prod_growth^(A17-1)*24,0)</f>
        <v>3506</v>
      </c>
      <c r="C17" s="1" t="n">
        <f aca="false">ROUND(B17*quest_daily_cap,0)</f>
        <v>526</v>
      </c>
      <c r="D17" s="1" t="n">
        <f aca="false">ROUND(C17/quest_daily_count,0)</f>
        <v>132</v>
      </c>
      <c r="E17" s="1" t="n">
        <f aca="false">ROUND(B17*quest_weekly_cap,0)</f>
        <v>1402</v>
      </c>
      <c r="F17" s="1" t="n">
        <f aca="false">ROUND(B17*quest_milestone_cap,0)</f>
        <v>1753</v>
      </c>
      <c r="G17" s="1" t="n">
        <f aca="false">(C17+E17/7)/B17</f>
        <v>0.207155081085486</v>
      </c>
      <c r="H17" s="1" t="str">
        <f aca="false">IF(G17&lt;=quest_safe_cap,"✅ Xavfsiz","⚠️ Juda koʻp mukofot")</f>
        <v>✅ Xavfsiz</v>
      </c>
    </row>
    <row r="18" customFormat="false" ht="15" hidden="false" customHeight="false" outlineLevel="0" collapsed="false">
      <c r="A18" s="1" t="n">
        <v>12</v>
      </c>
      <c r="B18" s="1" t="n">
        <f aca="false">ROUND(prod_base*prod_growth^(A18-1)*24,0)</f>
        <v>4278</v>
      </c>
      <c r="C18" s="1" t="n">
        <f aca="false">ROUND(B18*quest_daily_cap,0)</f>
        <v>642</v>
      </c>
      <c r="D18" s="1" t="n">
        <f aca="false">ROUND(C18/quest_daily_count,0)</f>
        <v>161</v>
      </c>
      <c r="E18" s="1" t="n">
        <f aca="false">ROUND(B18*quest_weekly_cap,0)</f>
        <v>1711</v>
      </c>
      <c r="F18" s="1" t="n">
        <f aca="false">ROUND(B18*quest_milestone_cap,0)</f>
        <v>2139</v>
      </c>
      <c r="G18" s="1" t="n">
        <f aca="false">(C18+E18/7)/B18</f>
        <v>0.207206304681761</v>
      </c>
      <c r="H18" s="1" t="str">
        <f aca="false">IF(G18&lt;=quest_safe_cap,"✅ Xavfsiz","⚠️ Juda koʻp mukofot")</f>
        <v>✅ Xavfsiz</v>
      </c>
    </row>
    <row r="19" customFormat="false" ht="15" hidden="false" customHeight="false" outlineLevel="0" collapsed="false">
      <c r="A19" s="1" t="n">
        <v>13</v>
      </c>
      <c r="B19" s="1" t="n">
        <f aca="false">ROUND(prod_base*prod_growth^(A19-1)*24,0)</f>
        <v>5219</v>
      </c>
      <c r="C19" s="1" t="n">
        <f aca="false">ROUND(B19*quest_daily_cap,0)</f>
        <v>783</v>
      </c>
      <c r="D19" s="1" t="n">
        <f aca="false">ROUND(C19/quest_daily_count,0)</f>
        <v>196</v>
      </c>
      <c r="E19" s="1" t="n">
        <f aca="false">ROUND(B19*quest_weekly_cap,0)</f>
        <v>2088</v>
      </c>
      <c r="F19" s="1" t="n">
        <f aca="false">ROUND(B19*quest_milestone_cap,0)</f>
        <v>2610</v>
      </c>
      <c r="G19" s="1" t="n">
        <f aca="false">(C19+E19/7)/B19</f>
        <v>0.207182547286015</v>
      </c>
      <c r="H19" s="1" t="str">
        <f aca="false">IF(G19&lt;=quest_safe_cap,"✅ Xavfsiz","⚠️ Juda koʻp mukofot")</f>
        <v>✅ Xavfsiz</v>
      </c>
    </row>
    <row r="20" customFormat="false" ht="15" hidden="false" customHeight="false" outlineLevel="0" collapsed="false">
      <c r="A20" s="1" t="n">
        <v>14</v>
      </c>
      <c r="B20" s="1" t="n">
        <f aca="false">ROUND(prod_base*prod_growth^(A20-1)*24,0)</f>
        <v>6367</v>
      </c>
      <c r="C20" s="1" t="n">
        <f aca="false">ROUND(B20*quest_daily_cap,0)</f>
        <v>955</v>
      </c>
      <c r="D20" s="1" t="n">
        <f aca="false">ROUND(C20/quest_daily_count,0)</f>
        <v>239</v>
      </c>
      <c r="E20" s="1" t="n">
        <f aca="false">ROUND(B20*quest_weekly_cap,0)</f>
        <v>2547</v>
      </c>
      <c r="F20" s="1" t="n">
        <f aca="false">ROUND(B20*quest_milestone_cap,0)</f>
        <v>3184</v>
      </c>
      <c r="G20" s="1" t="n">
        <f aca="false">(C20+E20/7)/B20</f>
        <v>0.207139491574861</v>
      </c>
      <c r="H20" s="1" t="str">
        <f aca="false">IF(G20&lt;=quest_safe_cap,"✅ Xavfsiz","⚠️ Juda koʻp mukofot")</f>
        <v>✅ Xavfsiz</v>
      </c>
    </row>
    <row r="21" customFormat="false" ht="15" hidden="false" customHeight="false" outlineLevel="0" collapsed="false">
      <c r="A21" s="1" t="n">
        <v>15</v>
      </c>
      <c r="B21" s="1" t="n">
        <f aca="false">ROUND(prod_base*prod_growth^(A21-1)*24,0)</f>
        <v>7767</v>
      </c>
      <c r="C21" s="1" t="n">
        <f aca="false">ROUND(B21*quest_daily_cap,0)</f>
        <v>1165</v>
      </c>
      <c r="D21" s="1" t="n">
        <f aca="false">ROUND(C21/quest_daily_count,0)</f>
        <v>291</v>
      </c>
      <c r="E21" s="1" t="n">
        <f aca="false">ROUND(B21*quest_weekly_cap,0)</f>
        <v>3107</v>
      </c>
      <c r="F21" s="1" t="n">
        <f aca="false">ROUND(B21*quest_milestone_cap,0)</f>
        <v>3884</v>
      </c>
      <c r="G21" s="1" t="n">
        <f aca="false">(C21+E21/7)/B21</f>
        <v>0.207140098217734</v>
      </c>
      <c r="H21" s="1" t="str">
        <f aca="false">IF(G21&lt;=quest_safe_cap,"✅ Xavfsiz","⚠️ Juda koʻp mukofot")</f>
        <v>✅ Xavfsiz</v>
      </c>
    </row>
    <row r="22" customFormat="false" ht="15" hidden="false" customHeight="false" outlineLevel="0" collapsed="false">
      <c r="A22" s="1" t="n">
        <v>16</v>
      </c>
      <c r="B22" s="1" t="n">
        <f aca="false">ROUND(prod_base*prod_growth^(A22-1)*24,0)</f>
        <v>9476</v>
      </c>
      <c r="C22" s="1" t="n">
        <f aca="false">ROUND(B22*quest_daily_cap,0)</f>
        <v>1421</v>
      </c>
      <c r="D22" s="1" t="n">
        <f aca="false">ROUND(C22/quest_daily_count,0)</f>
        <v>355</v>
      </c>
      <c r="E22" s="1" t="n">
        <f aca="false">ROUND(B22*quest_weekly_cap,0)</f>
        <v>3790</v>
      </c>
      <c r="F22" s="1" t="n">
        <f aca="false">ROUND(B22*quest_milestone_cap,0)</f>
        <v>4738</v>
      </c>
      <c r="G22" s="1" t="n">
        <f aca="false">(C22+E22/7)/B22</f>
        <v>0.207094614967135</v>
      </c>
      <c r="H22" s="1" t="str">
        <f aca="false">IF(G22&lt;=quest_safe_cap,"✅ Xavfsiz","⚠️ Juda koʻp mukofot")</f>
        <v>✅ Xavfsiz</v>
      </c>
    </row>
    <row r="23" customFormat="false" ht="15" hidden="false" customHeight="false" outlineLevel="0" collapsed="false">
      <c r="A23" s="1" t="n">
        <v>17</v>
      </c>
      <c r="B23" s="1" t="n">
        <f aca="false">ROUND(prod_base*prod_growth^(A23-1)*24,0)</f>
        <v>11561</v>
      </c>
      <c r="C23" s="1" t="n">
        <f aca="false">ROUND(B23*quest_daily_cap,0)</f>
        <v>1734</v>
      </c>
      <c r="D23" s="1" t="n">
        <f aca="false">ROUND(C23/quest_daily_count,0)</f>
        <v>434</v>
      </c>
      <c r="E23" s="1" t="n">
        <f aca="false">ROUND(B23*quest_weekly_cap,0)</f>
        <v>4624</v>
      </c>
      <c r="F23" s="1" t="n">
        <f aca="false">ROUND(B23*quest_milestone_cap,0)</f>
        <v>5781</v>
      </c>
      <c r="G23" s="1" t="n">
        <f aca="false">(C23+E23/7)/B23</f>
        <v>0.207124939760525</v>
      </c>
      <c r="H23" s="1" t="str">
        <f aca="false">IF(G23&lt;=quest_safe_cap,"✅ Xavfsiz","⚠️ Juda koʻp mukofot")</f>
        <v>✅ Xavfsiz</v>
      </c>
    </row>
    <row r="24" customFormat="false" ht="15" hidden="false" customHeight="false" outlineLevel="0" collapsed="false">
      <c r="A24" s="1" t="n">
        <v>18</v>
      </c>
      <c r="B24" s="1" t="n">
        <f aca="false">ROUND(prod_base*prod_growth^(A24-1)*24,0)</f>
        <v>14105</v>
      </c>
      <c r="C24" s="1" t="n">
        <f aca="false">ROUND(B24*quest_daily_cap,0)</f>
        <v>2116</v>
      </c>
      <c r="D24" s="1" t="n">
        <f aca="false">ROUND(C24/quest_daily_count,0)</f>
        <v>529</v>
      </c>
      <c r="E24" s="1" t="n">
        <f aca="false">ROUND(B24*quest_weekly_cap,0)</f>
        <v>5642</v>
      </c>
      <c r="F24" s="1" t="n">
        <f aca="false">ROUND(B24*quest_milestone_cap,0)</f>
        <v>7053</v>
      </c>
      <c r="G24" s="1" t="n">
        <f aca="false">(C24+E24/7)/B24</f>
        <v>0.20716058135413</v>
      </c>
      <c r="H24" s="1" t="str">
        <f aca="false">IF(G24&lt;=quest_safe_cap,"✅ Xavfsiz","⚠️ Juda koʻp mukofot")</f>
        <v>✅ Xavfsiz</v>
      </c>
    </row>
    <row r="25" customFormat="false" ht="15" hidden="false" customHeight="false" outlineLevel="0" collapsed="false">
      <c r="A25" s="1" t="n">
        <v>19</v>
      </c>
      <c r="B25" s="1" t="n">
        <f aca="false">ROUND(prod_base*prod_growth^(A25-1)*24,0)</f>
        <v>17208</v>
      </c>
      <c r="C25" s="1" t="n">
        <f aca="false">ROUND(B25*quest_daily_cap,0)</f>
        <v>2581</v>
      </c>
      <c r="D25" s="1" t="n">
        <f aca="false">ROUND(C25/quest_daily_count,0)</f>
        <v>645</v>
      </c>
      <c r="E25" s="1" t="n">
        <f aca="false">ROUND(B25*quest_weekly_cap,0)</f>
        <v>6883</v>
      </c>
      <c r="F25" s="1" t="n">
        <f aca="false">ROUND(B25*quest_milestone_cap,0)</f>
        <v>8604</v>
      </c>
      <c r="G25" s="1" t="n">
        <f aca="false">(C25+E25/7)/B25</f>
        <v>0.207129574284386</v>
      </c>
      <c r="H25" s="1" t="str">
        <f aca="false">IF(G25&lt;=quest_safe_cap,"✅ Xavfsiz","⚠️ Juda koʻp mukofot")</f>
        <v>✅ Xavfsiz</v>
      </c>
    </row>
    <row r="26" customFormat="false" ht="15" hidden="false" customHeight="false" outlineLevel="0" collapsed="false">
      <c r="A26" s="1" t="n">
        <v>20</v>
      </c>
      <c r="B26" s="1" t="n">
        <f aca="false">ROUND(prod_base*prod_growth^(A26-1)*24,0)</f>
        <v>20993</v>
      </c>
      <c r="C26" s="1" t="n">
        <f aca="false">ROUND(B26*quest_daily_cap,0)</f>
        <v>3149</v>
      </c>
      <c r="D26" s="1" t="n">
        <f aca="false">ROUND(C26/quest_daily_count,0)</f>
        <v>787</v>
      </c>
      <c r="E26" s="1" t="n">
        <f aca="false">ROUND(B26*quest_weekly_cap,0)</f>
        <v>8397</v>
      </c>
      <c r="F26" s="1" t="n">
        <f aca="false">ROUND(B26*quest_milestone_cap,0)</f>
        <v>10497</v>
      </c>
      <c r="G26" s="1" t="n">
        <f aca="false">(C26+E26/7)/B26</f>
        <v>0.20714387789127</v>
      </c>
      <c r="H26" s="1" t="str">
        <f aca="false">IF(G26&lt;=quest_safe_cap,"✅ Xavfsiz","⚠️ Juda koʻp mukofot")</f>
        <v>✅ Xavfsiz</v>
      </c>
    </row>
    <row r="27" customFormat="false" ht="15" hidden="false" customHeight="false" outlineLevel="0" collapsed="false">
      <c r="A27" s="1" t="n">
        <v>21</v>
      </c>
      <c r="B27" s="1" t="n">
        <f aca="false">ROUND(prod_base*prod_growth^(A27-1)*24,0)</f>
        <v>25612</v>
      </c>
      <c r="C27" s="1" t="n">
        <f aca="false">ROUND(B27*quest_daily_cap,0)</f>
        <v>3842</v>
      </c>
      <c r="D27" s="1" t="n">
        <f aca="false">ROUND(C27/quest_daily_count,0)</f>
        <v>961</v>
      </c>
      <c r="E27" s="1" t="n">
        <f aca="false">ROUND(B27*quest_weekly_cap,0)</f>
        <v>10245</v>
      </c>
      <c r="F27" s="1" t="n">
        <f aca="false">ROUND(B27*quest_milestone_cap,0)</f>
        <v>12806</v>
      </c>
      <c r="G27" s="1" t="n">
        <f aca="false">(C27+E27/7)/B27</f>
        <v>0.207151781530979</v>
      </c>
      <c r="H27" s="1" t="str">
        <f aca="false">IF(G27&lt;=quest_safe_cap,"✅ Xavfsiz","⚠️ Juda koʻp mukofot")</f>
        <v>✅ Xavfsiz</v>
      </c>
    </row>
    <row r="28" customFormat="false" ht="15" hidden="false" customHeight="false" outlineLevel="0" collapsed="false">
      <c r="A28" s="1" t="n">
        <v>22</v>
      </c>
      <c r="B28" s="1" t="n">
        <f aca="false">ROUND(prod_base*prod_growth^(A28-1)*24,0)</f>
        <v>31246</v>
      </c>
      <c r="C28" s="1" t="n">
        <f aca="false">ROUND(B28*quest_daily_cap,0)</f>
        <v>4687</v>
      </c>
      <c r="D28" s="1" t="n">
        <f aca="false">ROUND(C28/quest_daily_count,0)</f>
        <v>1172</v>
      </c>
      <c r="E28" s="1" t="n">
        <f aca="false">ROUND(B28*quest_weekly_cap,0)</f>
        <v>12498</v>
      </c>
      <c r="F28" s="1" t="n">
        <f aca="false">ROUND(B28*quest_milestone_cap,0)</f>
        <v>15623</v>
      </c>
      <c r="G28" s="1" t="n">
        <f aca="false">(C28+E28/7)/B28</f>
        <v>0.207144228746994</v>
      </c>
      <c r="H28" s="1" t="str">
        <f aca="false">IF(G28&lt;=quest_safe_cap,"✅ Xavfsiz","⚠️ Juda koʻp mukofot")</f>
        <v>✅ Xavfsiz</v>
      </c>
    </row>
    <row r="29" customFormat="false" ht="15" hidden="false" customHeight="false" outlineLevel="0" collapsed="false">
      <c r="A29" s="1" t="n">
        <v>23</v>
      </c>
      <c r="B29" s="1" t="n">
        <f aca="false">ROUND(prod_base*prod_growth^(A29-1)*24,0)</f>
        <v>38120</v>
      </c>
      <c r="C29" s="1" t="n">
        <f aca="false">ROUND(B29*quest_daily_cap,0)</f>
        <v>5718</v>
      </c>
      <c r="D29" s="1" t="n">
        <f aca="false">ROUND(C29/quest_daily_count,0)</f>
        <v>1430</v>
      </c>
      <c r="E29" s="1" t="n">
        <f aca="false">ROUND(B29*quest_weekly_cap,0)</f>
        <v>15248</v>
      </c>
      <c r="F29" s="1" t="n">
        <f aca="false">ROUND(B29*quest_milestone_cap,0)</f>
        <v>19060</v>
      </c>
      <c r="G29" s="1" t="n">
        <f aca="false">(C29+E29/7)/B29</f>
        <v>0.207142857142857</v>
      </c>
      <c r="H29" s="1" t="str">
        <f aca="false">IF(G29&lt;=quest_safe_cap,"✅ Xavfsiz","⚠️ Juda koʻp mukofot")</f>
        <v>✅ Xavfsiz</v>
      </c>
    </row>
    <row r="30" customFormat="false" ht="15" hidden="false" customHeight="false" outlineLevel="0" collapsed="false">
      <c r="A30" s="1" t="n">
        <v>24</v>
      </c>
      <c r="B30" s="1" t="n">
        <f aca="false">ROUND(prod_base*prod_growth^(A30-1)*24,0)</f>
        <v>46507</v>
      </c>
      <c r="C30" s="1" t="n">
        <f aca="false">ROUND(B30*quest_daily_cap,0)</f>
        <v>6976</v>
      </c>
      <c r="D30" s="1" t="n">
        <f aca="false">ROUND(C30/quest_daily_count,0)</f>
        <v>1744</v>
      </c>
      <c r="E30" s="1" t="n">
        <f aca="false">ROUND(B30*quest_weekly_cap,0)</f>
        <v>18603</v>
      </c>
      <c r="F30" s="1" t="n">
        <f aca="false">ROUND(B30*quest_milestone_cap,0)</f>
        <v>23254</v>
      </c>
      <c r="G30" s="1" t="n">
        <f aca="false">(C30+E30/7)/B30</f>
        <v>0.207142396382726</v>
      </c>
      <c r="H30" s="1" t="str">
        <f aca="false">IF(G30&lt;=quest_safe_cap,"✅ Xavfsiz","⚠️ Juda koʻp mukofot")</f>
        <v>✅ Xavfsiz</v>
      </c>
    </row>
    <row r="31" customFormat="false" ht="15" hidden="false" customHeight="false" outlineLevel="0" collapsed="false">
      <c r="A31" s="1" t="n">
        <v>25</v>
      </c>
      <c r="B31" s="1" t="n">
        <f aca="false">ROUND(prod_base*prod_growth^(A31-1)*24,0)</f>
        <v>56738</v>
      </c>
      <c r="C31" s="1" t="n">
        <f aca="false">ROUND(B31*quest_daily_cap,0)</f>
        <v>8511</v>
      </c>
      <c r="D31" s="1" t="n">
        <f aca="false">ROUND(C31/quest_daily_count,0)</f>
        <v>2128</v>
      </c>
      <c r="E31" s="1" t="n">
        <f aca="false">ROUND(B31*quest_weekly_cap,0)</f>
        <v>22695</v>
      </c>
      <c r="F31" s="1" t="n">
        <f aca="false">ROUND(B31*quest_milestone_cap,0)</f>
        <v>28369</v>
      </c>
      <c r="G31" s="1" t="n">
        <f aca="false">(C31+E31/7)/B31</f>
        <v>0.207147641036745</v>
      </c>
      <c r="H31" s="1" t="str">
        <f aca="false">IF(G31&lt;=quest_safe_cap,"✅ Xavfsiz","⚠️ Juda koʻp mukofot")</f>
        <v>✅ Xavfsiz</v>
      </c>
    </row>
    <row r="32" customFormat="false" ht="15" hidden="false" customHeight="false" outlineLevel="0" collapsed="false">
      <c r="A32" s="1" t="s">
        <v>752</v>
      </c>
      <c r="B32" s="1"/>
      <c r="C32" s="1"/>
      <c r="D32" s="1"/>
      <c r="E32" s="1" t="s">
        <v>753</v>
      </c>
    </row>
    <row r="33" customFormat="false" ht="15" hidden="false" customHeight="false" outlineLevel="0" collapsed="false">
      <c r="A33" s="1" t="s">
        <v>754</v>
      </c>
      <c r="B33" s="1" t="s">
        <v>755</v>
      </c>
      <c r="C33" s="1" t="s">
        <v>539</v>
      </c>
    </row>
    <row r="34" customFormat="false" ht="15" hidden="false" customHeight="false" outlineLevel="0" collapsed="false">
      <c r="A34" s="1" t="s">
        <v>756</v>
      </c>
      <c r="B34" s="1" t="s">
        <v>757</v>
      </c>
      <c r="C34" s="1" t="s">
        <v>758</v>
      </c>
      <c r="D34" s="1"/>
      <c r="E34" s="1" t="s">
        <v>759</v>
      </c>
      <c r="F34" s="1" t="s">
        <v>760</v>
      </c>
      <c r="G34" s="1" t="s">
        <v>761</v>
      </c>
    </row>
    <row r="35" customFormat="false" ht="15" hidden="false" customHeight="false" outlineLevel="0" collapsed="false">
      <c r="A35" s="1" t="s">
        <v>759</v>
      </c>
      <c r="B35" s="1" t="s">
        <v>762</v>
      </c>
      <c r="C35" s="1" t="s">
        <v>763</v>
      </c>
      <c r="D35" s="1"/>
      <c r="E35" s="1" t="s">
        <v>764</v>
      </c>
      <c r="F35" s="1" t="s">
        <v>765</v>
      </c>
      <c r="G35" s="1" t="s">
        <v>766</v>
      </c>
    </row>
    <row r="36" customFormat="false" ht="15" hidden="false" customHeight="false" outlineLevel="0" collapsed="false">
      <c r="A36" s="1" t="s">
        <v>767</v>
      </c>
      <c r="B36" s="1" t="s">
        <v>768</v>
      </c>
      <c r="C36" s="1" t="s">
        <v>769</v>
      </c>
      <c r="D36" s="1"/>
      <c r="E36" s="1" t="s">
        <v>767</v>
      </c>
      <c r="F36" s="1" t="s">
        <v>770</v>
      </c>
      <c r="G36" s="1" t="s">
        <v>771</v>
      </c>
    </row>
    <row r="37" customFormat="false" ht="15" hidden="false" customHeight="false" outlineLevel="0" collapsed="false">
      <c r="A37" s="1" t="s">
        <v>772</v>
      </c>
      <c r="B37" s="1" t="s">
        <v>773</v>
      </c>
      <c r="C37" s="1" t="s">
        <v>774</v>
      </c>
      <c r="D37" s="1"/>
      <c r="E37" s="1" t="s">
        <v>756</v>
      </c>
      <c r="F37" s="1" t="s">
        <v>775</v>
      </c>
      <c r="G37" s="1" t="s">
        <v>776</v>
      </c>
    </row>
    <row r="38" customFormat="false" ht="15" hidden="false" customHeight="false" outlineLevel="0" collapsed="false">
      <c r="A38" s="1" t="s">
        <v>777</v>
      </c>
      <c r="B38" s="1" t="s">
        <v>778</v>
      </c>
      <c r="C38" s="1" t="s">
        <v>779</v>
      </c>
      <c r="D38" s="1"/>
      <c r="E38" s="1" t="s">
        <v>780</v>
      </c>
      <c r="F38" s="1" t="s">
        <v>781</v>
      </c>
      <c r="G38" s="1" t="s">
        <v>782</v>
      </c>
    </row>
    <row r="39" customFormat="false" ht="15" hidden="false" customHeight="false" outlineLevel="0" collapsed="false">
      <c r="A39" s="1"/>
      <c r="B39" s="1"/>
      <c r="C39" s="1"/>
      <c r="D39" s="1"/>
      <c r="E39" s="1" t="s">
        <v>772</v>
      </c>
      <c r="F39" s="1" t="s">
        <v>783</v>
      </c>
      <c r="G39" s="1" t="s">
        <v>784</v>
      </c>
    </row>
    <row r="40" customFormat="false" ht="15" hidden="false" customHeight="false" outlineLevel="0" collapsed="false">
      <c r="A40" s="1" t="s">
        <v>785</v>
      </c>
      <c r="B40" s="1"/>
      <c r="C40" s="1"/>
      <c r="D40" s="1"/>
      <c r="E40" s="1" t="s">
        <v>786</v>
      </c>
      <c r="F40" s="1" t="s">
        <v>787</v>
      </c>
      <c r="G40" s="1" t="s">
        <v>788</v>
      </c>
    </row>
    <row r="41" customFormat="false" ht="15" hidden="false" customHeight="false" outlineLevel="0" collapsed="false">
      <c r="A41" s="1" t="s">
        <v>789</v>
      </c>
      <c r="B41" s="1" t="s">
        <v>790</v>
      </c>
      <c r="C41" s="1" t="s">
        <v>655</v>
      </c>
      <c r="D41" s="1"/>
      <c r="E41" s="1" t="s">
        <v>791</v>
      </c>
      <c r="F41" s="1" t="s">
        <v>792</v>
      </c>
      <c r="G41" s="1" t="s">
        <v>784</v>
      </c>
    </row>
    <row r="42" customFormat="false" ht="15" hidden="false" customHeight="false" outlineLevel="0" collapsed="false">
      <c r="A42" s="1" t="s">
        <v>793</v>
      </c>
      <c r="B42" s="1" t="s">
        <v>794</v>
      </c>
      <c r="C42" s="1" t="s">
        <v>795</v>
      </c>
      <c r="D42" s="1"/>
      <c r="E42" s="1" t="s">
        <v>796</v>
      </c>
      <c r="F42" s="1" t="s">
        <v>797</v>
      </c>
      <c r="G42" s="1" t="s">
        <v>798</v>
      </c>
    </row>
    <row r="43" customFormat="false" ht="15" hidden="false" customHeight="false" outlineLevel="0" collapsed="false">
      <c r="A43" s="1" t="s">
        <v>799</v>
      </c>
      <c r="B43" s="1" t="s">
        <v>800</v>
      </c>
      <c r="C43" s="1" t="s">
        <v>801</v>
      </c>
      <c r="D43" s="1"/>
      <c r="E43" s="1" t="s">
        <v>802</v>
      </c>
      <c r="F43" s="1" t="s">
        <v>803</v>
      </c>
      <c r="G43" s="1" t="s">
        <v>804</v>
      </c>
    </row>
    <row r="44" customFormat="false" ht="15" hidden="false" customHeight="false" outlineLevel="0" collapsed="false">
      <c r="A44" s="1" t="s">
        <v>805</v>
      </c>
      <c r="B44" s="1" t="s">
        <v>806</v>
      </c>
      <c r="C44" s="1" t="s">
        <v>807</v>
      </c>
    </row>
    <row r="45" customFormat="false" ht="15" hidden="false" customHeight="false" outlineLevel="0" collapsed="false">
      <c r="A45" s="1" t="s">
        <v>808</v>
      </c>
      <c r="B45" s="1" t="s">
        <v>809</v>
      </c>
      <c r="C45" s="1" t="s">
        <v>810</v>
      </c>
      <c r="D45" s="1"/>
      <c r="E45" s="1" t="s">
        <v>811</v>
      </c>
    </row>
    <row r="46" customFormat="false" ht="15" hidden="false" customHeight="false" outlineLevel="0" collapsed="false">
      <c r="A46" s="1" t="s">
        <v>812</v>
      </c>
      <c r="B46" s="1" t="s">
        <v>813</v>
      </c>
    </row>
    <row r="47" customFormat="false" ht="15" hidden="false" customHeight="false" outlineLevel="0" collapsed="false">
      <c r="A47" s="1"/>
      <c r="B47" s="1"/>
      <c r="C47" s="1"/>
      <c r="D47" s="1"/>
      <c r="E47" s="1" t="s">
        <v>814</v>
      </c>
      <c r="F47" s="1" t="s">
        <v>815</v>
      </c>
    </row>
    <row r="48" customFormat="false" ht="15" hidden="false" customHeight="false" outlineLevel="0" collapsed="false">
      <c r="A48" s="1" t="s">
        <v>816</v>
      </c>
      <c r="B48" s="1"/>
      <c r="C48" s="1"/>
      <c r="D48" s="1"/>
      <c r="E48" s="1" t="s">
        <v>817</v>
      </c>
      <c r="F48" s="1" t="s">
        <v>818</v>
      </c>
    </row>
    <row r="49" customFormat="false" ht="15" hidden="false" customHeight="false" outlineLevel="0" collapsed="false">
      <c r="A49" s="1" t="s">
        <v>819</v>
      </c>
      <c r="B49" s="1"/>
      <c r="C49" s="1"/>
      <c r="D49" s="1"/>
      <c r="E49" s="1" t="s">
        <v>820</v>
      </c>
      <c r="F49" s="1" t="s">
        <v>821</v>
      </c>
    </row>
    <row r="50" customFormat="false" ht="15" hidden="false" customHeight="false" outlineLevel="0" collapsed="false">
      <c r="A50" s="1" t="s">
        <v>822</v>
      </c>
      <c r="B50" s="1"/>
      <c r="C50" s="1"/>
      <c r="D50" s="1"/>
      <c r="E50" s="1" t="s">
        <v>823</v>
      </c>
      <c r="F50" s="1" t="s">
        <v>824</v>
      </c>
    </row>
    <row r="51" customFormat="false" ht="15" hidden="false" customHeight="false" outlineLevel="0" collapsed="false">
      <c r="A51" s="1" t="s">
        <v>825</v>
      </c>
      <c r="B51" s="1"/>
      <c r="C51" s="1"/>
      <c r="D51" s="1"/>
      <c r="E51" s="1" t="s">
        <v>826</v>
      </c>
      <c r="F51" s="1" t="s">
        <v>827</v>
      </c>
    </row>
    <row r="52" customFormat="false" ht="15" hidden="false" customHeight="false" outlineLevel="0" collapsed="false">
      <c r="A52" s="1"/>
      <c r="B52" s="1"/>
      <c r="C52" s="1"/>
      <c r="D52" s="1"/>
      <c r="E52" s="1" t="s">
        <v>828</v>
      </c>
      <c r="F52" s="1" t="s">
        <v>829</v>
      </c>
    </row>
    <row r="53" customFormat="false" ht="15" hidden="false" customHeight="false" outlineLevel="0" collapsed="false">
      <c r="A53" s="1"/>
      <c r="B53" s="1"/>
      <c r="C53" s="1"/>
      <c r="D53" s="1"/>
      <c r="E53" s="1" t="s">
        <v>830</v>
      </c>
      <c r="F53" s="1" t="s">
        <v>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H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3" customFormat="false" ht="15" hidden="false" customHeight="false" outlineLevel="0" collapsed="false">
      <c r="A3" s="1" t="s">
        <v>832</v>
      </c>
    </row>
    <row r="4" customFormat="false" ht="15" hidden="false" customHeight="false" outlineLevel="0" collapsed="false">
      <c r="A4" s="1" t="s">
        <v>833</v>
      </c>
    </row>
    <row r="5" customFormat="false" ht="15" hidden="false" customHeight="false" outlineLevel="0" collapsed="false">
      <c r="A5" s="1" t="s">
        <v>834</v>
      </c>
      <c r="B5" s="1" t="n">
        <f aca="false">sample_alpha_level</f>
        <v>19</v>
      </c>
    </row>
    <row r="6" customFormat="false" ht="15" hidden="false" customHeight="false" outlineLevel="0" collapsed="false">
      <c r="A6" s="1" t="s">
        <v>835</v>
      </c>
    </row>
    <row r="7" customFormat="false" ht="15" hidden="false" customHeight="false" outlineLevel="0" collapsed="false">
      <c r="A7" s="1" t="s">
        <v>207</v>
      </c>
      <c r="B7" s="1" t="s">
        <v>208</v>
      </c>
      <c r="C7" s="1" t="s">
        <v>836</v>
      </c>
      <c r="D7" s="1" t="s">
        <v>837</v>
      </c>
      <c r="E7" s="1" t="s">
        <v>211</v>
      </c>
      <c r="F7" s="1" t="s">
        <v>212</v>
      </c>
      <c r="G7" s="1" t="s">
        <v>213</v>
      </c>
    </row>
    <row r="8" customFormat="false" ht="15" hidden="false" customHeight="false" outlineLevel="0" collapsed="false">
      <c r="A8" s="1" t="n">
        <v>1</v>
      </c>
      <c r="B8" s="1" t="s">
        <v>214</v>
      </c>
      <c r="C8" s="1" t="n">
        <f aca="false">Rollar!D22</f>
        <v>126</v>
      </c>
      <c r="D8" s="1" t="n">
        <f aca="false">ROUND(C8/$C$8,2)</f>
        <v>1</v>
      </c>
      <c r="E8" s="1" t="n">
        <f aca="false">Rollar!F13</f>
        <v>20</v>
      </c>
      <c r="F8" s="1" t="n">
        <f aca="false">Rollar!G13</f>
        <v>8</v>
      </c>
      <c r="G8" s="1" t="n">
        <f aca="false">Rollar!H13</f>
        <v>4</v>
      </c>
    </row>
    <row r="9" customFormat="false" ht="15" hidden="false" customHeight="false" outlineLevel="0" collapsed="false">
      <c r="A9" s="1" t="n">
        <v>2</v>
      </c>
      <c r="B9" s="1" t="s">
        <v>215</v>
      </c>
      <c r="C9" s="1" t="n">
        <f aca="false">Rollar!D23</f>
        <v>183</v>
      </c>
      <c r="D9" s="1" t="n">
        <f aca="false">ROUND(C9/$C$8,2)</f>
        <v>1.45</v>
      </c>
      <c r="E9" s="1" t="n">
        <f aca="false">Rollar!F14</f>
        <v>42</v>
      </c>
      <c r="F9" s="1" t="n">
        <f aca="false">Rollar!G14</f>
        <v>17</v>
      </c>
      <c r="G9" s="1" t="n">
        <f aca="false">Rollar!H14</f>
        <v>5.8</v>
      </c>
    </row>
    <row r="10" customFormat="false" ht="15" hidden="false" customHeight="false" outlineLevel="0" collapsed="false">
      <c r="A10" s="1" t="n">
        <v>3</v>
      </c>
      <c r="B10" s="1" t="s">
        <v>216</v>
      </c>
      <c r="C10" s="1" t="n">
        <f aca="false">Rollar!D24</f>
        <v>266</v>
      </c>
      <c r="D10" s="1" t="n">
        <f aca="false">ROUND(C10/$C$8,2)</f>
        <v>2.11</v>
      </c>
      <c r="E10" s="1" t="n">
        <f aca="false">Rollar!F15</f>
        <v>89</v>
      </c>
      <c r="F10" s="1" t="n">
        <f aca="false">Rollar!G15</f>
        <v>35</v>
      </c>
      <c r="G10" s="1" t="n">
        <f aca="false">Rollar!H15</f>
        <v>8.4</v>
      </c>
    </row>
    <row r="11" customFormat="false" ht="15" hidden="false" customHeight="false" outlineLevel="0" collapsed="false">
      <c r="A11" s="1" t="n">
        <v>4</v>
      </c>
      <c r="B11" s="1" t="s">
        <v>217</v>
      </c>
      <c r="C11" s="1" t="n">
        <f aca="false">Rollar!D25</f>
        <v>385</v>
      </c>
      <c r="D11" s="1" t="n">
        <f aca="false">ROUND(C11/$C$8,2)</f>
        <v>3.06</v>
      </c>
      <c r="E11" s="1" t="n">
        <f aca="false">Rollar!F16</f>
        <v>187</v>
      </c>
      <c r="F11" s="1" t="n">
        <f aca="false">Rollar!G16</f>
        <v>75</v>
      </c>
      <c r="G11" s="1" t="n">
        <f aca="false">Rollar!H16</f>
        <v>12.2</v>
      </c>
    </row>
    <row r="12" customFormat="false" ht="15" hidden="false" customHeight="false" outlineLevel="0" collapsed="false">
      <c r="A12" s="1" t="n">
        <v>5</v>
      </c>
      <c r="B12" s="1" t="s">
        <v>218</v>
      </c>
      <c r="C12" s="1" t="n">
        <f aca="false">Rollar!D26</f>
        <v>559</v>
      </c>
      <c r="D12" s="1" t="n">
        <f aca="false">ROUND(C12/$C$8,2)</f>
        <v>4.44</v>
      </c>
      <c r="E12" s="1" t="n">
        <f aca="false">Rollar!F17</f>
        <v>393</v>
      </c>
      <c r="F12" s="1" t="n">
        <f aca="false">Rollar!G17</f>
        <v>157</v>
      </c>
      <c r="G12" s="1" t="n">
        <f aca="false">Rollar!H17</f>
        <v>17.8</v>
      </c>
    </row>
    <row r="13" customFormat="false" ht="15" hidden="false" customHeight="false" outlineLevel="0" collapsed="false">
      <c r="A13" s="1" t="n">
        <v>6</v>
      </c>
      <c r="B13" s="1" t="s">
        <v>219</v>
      </c>
      <c r="C13" s="1" t="n">
        <f aca="false">Rollar!D27</f>
        <v>810</v>
      </c>
      <c r="D13" s="1" t="n">
        <f aca="false">ROUND(C13/$C$8,2)</f>
        <v>6.43</v>
      </c>
      <c r="E13" s="1" t="n">
        <f aca="false">Rollar!F18</f>
        <v>824</v>
      </c>
      <c r="F13" s="1" t="n">
        <f aca="false">Rollar!G18</f>
        <v>330</v>
      </c>
      <c r="G13" s="1" t="n">
        <f aca="false">Rollar!H18</f>
        <v>25.7</v>
      </c>
    </row>
    <row r="14" customFormat="false" ht="15" hidden="false" customHeight="false" outlineLevel="0" collapsed="false">
      <c r="A14" s="1" t="s">
        <v>838</v>
      </c>
    </row>
    <row r="15" customFormat="false" ht="15" hidden="false" customHeight="false" outlineLevel="0" collapsed="false">
      <c r="A15" s="1" t="s">
        <v>839</v>
      </c>
    </row>
    <row r="16" customFormat="false" ht="15" hidden="false" customHeight="false" outlineLevel="0" collapsed="false">
      <c r="A16" s="1" t="s">
        <v>840</v>
      </c>
      <c r="B16" s="1" t="s">
        <v>841</v>
      </c>
      <c r="C16" s="1" t="s">
        <v>842</v>
      </c>
      <c r="D16" s="1" t="s">
        <v>463</v>
      </c>
      <c r="E16" s="1" t="s">
        <v>464</v>
      </c>
      <c r="F16" s="1" t="s">
        <v>465</v>
      </c>
      <c r="G16" s="1" t="s">
        <v>843</v>
      </c>
    </row>
    <row r="17" customFormat="false" ht="15" hidden="false" customHeight="false" outlineLevel="0" collapsed="false">
      <c r="A17" s="1" t="s">
        <v>844</v>
      </c>
      <c r="B17" s="1" t="n">
        <f aca="false">tier_coef</f>
        <v>1.45</v>
      </c>
      <c r="C17" s="1" t="n">
        <f aca="false">ROUND(tier_coef*(1+promote_loss),2)</f>
        <v>1.6</v>
      </c>
      <c r="D17" s="1" t="n">
        <f aca="false">ROUND(promote_cost_share*E9,0)</f>
        <v>25</v>
      </c>
      <c r="E17" s="1" t="n">
        <f aca="false">ROUND(promote_cost_share*F9,0)</f>
        <v>10</v>
      </c>
      <c r="F17" s="1" t="n">
        <f aca="false">ROUND(promote_time_share*G9,1)</f>
        <v>2.9</v>
      </c>
      <c r="G17" s="1" t="n">
        <f aca="false">ROUND(300/C17,0)</f>
        <v>188</v>
      </c>
    </row>
    <row r="18" customFormat="false" ht="15" hidden="false" customHeight="false" outlineLevel="0" collapsed="false">
      <c r="A18" s="1" t="s">
        <v>845</v>
      </c>
      <c r="B18" s="1" t="n">
        <f aca="false">tier_coef</f>
        <v>1.45</v>
      </c>
      <c r="C18" s="1" t="n">
        <f aca="false">ROUND(tier_coef*(1+promote_loss),2)</f>
        <v>1.6</v>
      </c>
      <c r="D18" s="1" t="n">
        <f aca="false">ROUND(promote_cost_share*E10,0)</f>
        <v>53</v>
      </c>
      <c r="E18" s="1" t="n">
        <f aca="false">ROUND(promote_cost_share*F10,0)</f>
        <v>21</v>
      </c>
      <c r="F18" s="1" t="n">
        <f aca="false">ROUND(promote_time_share*G10,1)</f>
        <v>4.2</v>
      </c>
      <c r="G18" s="1" t="n">
        <f aca="false">ROUND(300/C18,0)</f>
        <v>188</v>
      </c>
    </row>
    <row r="19" customFormat="false" ht="15" hidden="false" customHeight="false" outlineLevel="0" collapsed="false">
      <c r="A19" s="1" t="s">
        <v>846</v>
      </c>
      <c r="B19" s="1" t="n">
        <f aca="false">tier_coef</f>
        <v>1.45</v>
      </c>
      <c r="C19" s="1" t="n">
        <f aca="false">ROUND(tier_coef*(1+promote_loss),2)</f>
        <v>1.6</v>
      </c>
      <c r="D19" s="1" t="n">
        <f aca="false">ROUND(promote_cost_share*E11,0)</f>
        <v>112</v>
      </c>
      <c r="E19" s="1" t="n">
        <f aca="false">ROUND(promote_cost_share*F11,0)</f>
        <v>45</v>
      </c>
      <c r="F19" s="1" t="n">
        <f aca="false">ROUND(promote_time_share*G11,1)</f>
        <v>6.1</v>
      </c>
      <c r="G19" s="1" t="n">
        <f aca="false">ROUND(300/C19,0)</f>
        <v>188</v>
      </c>
    </row>
    <row r="20" customFormat="false" ht="15" hidden="false" customHeight="false" outlineLevel="0" collapsed="false">
      <c r="A20" s="1" t="s">
        <v>847</v>
      </c>
      <c r="B20" s="1" t="n">
        <f aca="false">tier_coef</f>
        <v>1.45</v>
      </c>
      <c r="C20" s="1" t="n">
        <f aca="false">ROUND(tier_coef*(1+promote_loss),2)</f>
        <v>1.6</v>
      </c>
      <c r="D20" s="1" t="n">
        <f aca="false">ROUND(promote_cost_share*E12,0)</f>
        <v>236</v>
      </c>
      <c r="E20" s="1" t="n">
        <f aca="false">ROUND(promote_cost_share*F12,0)</f>
        <v>94</v>
      </c>
      <c r="F20" s="1" t="n">
        <f aca="false">ROUND(promote_time_share*G12,1)</f>
        <v>8.9</v>
      </c>
      <c r="G20" s="1" t="n">
        <f aca="false">ROUND(300/C20,0)</f>
        <v>188</v>
      </c>
    </row>
    <row r="21" customFormat="false" ht="15" hidden="false" customHeight="false" outlineLevel="0" collapsed="false">
      <c r="A21" s="1" t="s">
        <v>848</v>
      </c>
      <c r="B21" s="1" t="n">
        <f aca="false">tier_coef</f>
        <v>1.45</v>
      </c>
      <c r="C21" s="1" t="n">
        <f aca="false">ROUND(tier_coef*(1+promote_loss),2)</f>
        <v>1.6</v>
      </c>
      <c r="D21" s="1" t="n">
        <f aca="false">ROUND(promote_cost_share*E13,0)</f>
        <v>494</v>
      </c>
      <c r="E21" s="1" t="n">
        <f aca="false">ROUND(promote_cost_share*F13,0)</f>
        <v>198</v>
      </c>
      <c r="F21" s="1" t="n">
        <f aca="false">ROUND(promote_time_share*G13,1)</f>
        <v>12.9</v>
      </c>
      <c r="G21" s="1" t="n">
        <f aca="false">ROUND(300/C21,0)</f>
        <v>188</v>
      </c>
    </row>
    <row r="22" customFormat="false" ht="15" hidden="false" customHeight="false" outlineLevel="0" collapsed="false">
      <c r="A22" s="1" t="s">
        <v>849</v>
      </c>
    </row>
    <row r="23" customFormat="false" ht="15" hidden="false" customHeight="false" outlineLevel="0" collapsed="false">
      <c r="A23" s="2" t="s">
        <v>2</v>
      </c>
      <c r="B23" s="2" t="s">
        <v>850</v>
      </c>
      <c r="C23" s="2" t="s">
        <v>176</v>
      </c>
      <c r="D23" s="2" t="s">
        <v>177</v>
      </c>
      <c r="E23" s="2" t="s">
        <v>178</v>
      </c>
      <c r="F23" s="2" t="s">
        <v>179</v>
      </c>
      <c r="G23" s="2" t="s">
        <v>851</v>
      </c>
      <c r="H23" s="2" t="s">
        <v>852</v>
      </c>
    </row>
    <row r="24" customFormat="false" ht="15" hidden="false" customHeight="false" outlineLevel="0" collapsed="false">
      <c r="A24" s="1" t="n">
        <v>1</v>
      </c>
      <c r="B24" s="1" t="n">
        <f aca="false">Darajalar!O6</f>
        <v>1</v>
      </c>
      <c r="C24" s="1" t="n">
        <f aca="false">IF(A24&lt;pack_unlock_level,0,ROUND(B24*share_scout,0))</f>
        <v>0</v>
      </c>
      <c r="D24" s="1" t="n">
        <f aca="false">B24-C24-E24-F24</f>
        <v>0</v>
      </c>
      <c r="E24" s="1" t="n">
        <f aca="false">IF(A24&lt;pack_unlock_level,0,ROUND(B24*share_defender,0))</f>
        <v>0</v>
      </c>
      <c r="F24" s="1" t="n">
        <f aca="false">IF(A24&lt;pack_unlock_level,1,MAX(1,ROUND(B24*share_hunter,0)))</f>
        <v>1</v>
      </c>
      <c r="G24" s="1" t="n">
        <f aca="false">MAX(1,MIN(6,INT(A24/tier_step_level)))</f>
        <v>1</v>
      </c>
      <c r="H24" s="1" t="n">
        <f aca="false">Oziqlanish!E6</f>
        <v>1</v>
      </c>
    </row>
    <row r="25" customFormat="false" ht="15" hidden="false" customHeight="false" outlineLevel="0" collapsed="false">
      <c r="A25" s="1" t="n">
        <v>2</v>
      </c>
      <c r="B25" s="1" t="n">
        <f aca="false">Darajalar!O7</f>
        <v>1</v>
      </c>
      <c r="C25" s="1" t="n">
        <f aca="false">IF(A25&lt;pack_unlock_level,0,ROUND(B25*share_scout,0))</f>
        <v>0</v>
      </c>
      <c r="D25" s="1" t="n">
        <f aca="false">B25-C25-E25-F25</f>
        <v>0</v>
      </c>
      <c r="E25" s="1" t="n">
        <f aca="false">IF(A25&lt;pack_unlock_level,0,ROUND(B25*share_defender,0))</f>
        <v>0</v>
      </c>
      <c r="F25" s="1" t="n">
        <f aca="false">IF(A25&lt;pack_unlock_level,1,MAX(1,ROUND(B25*share_hunter,0)))</f>
        <v>1</v>
      </c>
      <c r="G25" s="1" t="n">
        <f aca="false">MAX(1,MIN(6,INT(A25/tier_step_level)))</f>
        <v>1</v>
      </c>
      <c r="H25" s="1" t="n">
        <f aca="false">Oziqlanish!E7</f>
        <v>1</v>
      </c>
    </row>
    <row r="26" customFormat="false" ht="15" hidden="false" customHeight="false" outlineLevel="0" collapsed="false">
      <c r="A26" s="1" t="n">
        <v>3</v>
      </c>
      <c r="B26" s="1" t="n">
        <f aca="false">Darajalar!O8</f>
        <v>1</v>
      </c>
      <c r="C26" s="1" t="n">
        <f aca="false">IF(A26&lt;pack_unlock_level,0,ROUND(B26*share_scout,0))</f>
        <v>0</v>
      </c>
      <c r="D26" s="1" t="n">
        <f aca="false">B26-C26-E26-F26</f>
        <v>0</v>
      </c>
      <c r="E26" s="1" t="n">
        <f aca="false">IF(A26&lt;pack_unlock_level,0,ROUND(B26*share_defender,0))</f>
        <v>0</v>
      </c>
      <c r="F26" s="1" t="n">
        <f aca="false">IF(A26&lt;pack_unlock_level,1,MAX(1,ROUND(B26*share_hunter,0)))</f>
        <v>1</v>
      </c>
      <c r="G26" s="1" t="n">
        <f aca="false">MAX(1,MIN(6,INT(A26/tier_step_level)))</f>
        <v>1</v>
      </c>
      <c r="H26" s="1" t="n">
        <f aca="false">Oziqlanish!E8</f>
        <v>1</v>
      </c>
    </row>
    <row r="27" customFormat="false" ht="15" hidden="false" customHeight="false" outlineLevel="0" collapsed="false">
      <c r="A27" s="1" t="n">
        <v>4</v>
      </c>
      <c r="B27" s="1" t="n">
        <f aca="false">Darajalar!O9</f>
        <v>10</v>
      </c>
      <c r="C27" s="1" t="n">
        <f aca="false">IF(A27&lt;pack_unlock_level,0,ROUND(B27*share_scout,0))</f>
        <v>2</v>
      </c>
      <c r="D27" s="1" t="n">
        <f aca="false">B27-C27-E27-F27</f>
        <v>4</v>
      </c>
      <c r="E27" s="1" t="n">
        <f aca="false">IF(A27&lt;pack_unlock_level,0,ROUND(B27*share_defender,0))</f>
        <v>2</v>
      </c>
      <c r="F27" s="1" t="n">
        <f aca="false">IF(A27&lt;pack_unlock_level,1,MAX(1,ROUND(B27*share_hunter,0)))</f>
        <v>2</v>
      </c>
      <c r="G27" s="1" t="n">
        <f aca="false">MAX(1,MIN(6,INT(A27/tier_step_level)))</f>
        <v>1</v>
      </c>
      <c r="H27" s="1" t="n">
        <f aca="false">Oziqlanish!E9</f>
        <v>9</v>
      </c>
    </row>
    <row r="28" customFormat="false" ht="15" hidden="false" customHeight="false" outlineLevel="0" collapsed="false">
      <c r="A28" s="1" t="n">
        <v>5</v>
      </c>
      <c r="B28" s="1" t="n">
        <f aca="false">Darajalar!O10</f>
        <v>12</v>
      </c>
      <c r="C28" s="1" t="n">
        <f aca="false">IF(A28&lt;pack_unlock_level,0,ROUND(B28*share_scout,0))</f>
        <v>2</v>
      </c>
      <c r="D28" s="1" t="n">
        <f aca="false">B28-C28-E28-F28</f>
        <v>6</v>
      </c>
      <c r="E28" s="1" t="n">
        <f aca="false">IF(A28&lt;pack_unlock_level,0,ROUND(B28*share_defender,0))</f>
        <v>2</v>
      </c>
      <c r="F28" s="1" t="n">
        <f aca="false">IF(A28&lt;pack_unlock_level,1,MAX(1,ROUND(B28*share_hunter,0)))</f>
        <v>2</v>
      </c>
      <c r="G28" s="1" t="n">
        <f aca="false">MAX(1,MIN(6,INT(A28/tier_step_level)))</f>
        <v>1</v>
      </c>
      <c r="H28" s="1" t="n">
        <f aca="false">Oziqlanish!E10</f>
        <v>12</v>
      </c>
    </row>
    <row r="29" customFormat="false" ht="15" hidden="false" customHeight="false" outlineLevel="0" collapsed="false">
      <c r="A29" s="1" t="n">
        <v>6</v>
      </c>
      <c r="B29" s="1" t="n">
        <f aca="false">Darajalar!O11</f>
        <v>14</v>
      </c>
      <c r="C29" s="1" t="n">
        <f aca="false">IF(A29&lt;pack_unlock_level,0,ROUND(B29*share_scout,0))</f>
        <v>3</v>
      </c>
      <c r="D29" s="1" t="n">
        <f aca="false">B29-C29-E29-F29</f>
        <v>6</v>
      </c>
      <c r="E29" s="1" t="n">
        <f aca="false">IF(A29&lt;pack_unlock_level,0,ROUND(B29*share_defender,0))</f>
        <v>3</v>
      </c>
      <c r="F29" s="1" t="n">
        <f aca="false">IF(A29&lt;pack_unlock_level,1,MAX(1,ROUND(B29*share_hunter,0)))</f>
        <v>2</v>
      </c>
      <c r="G29" s="1" t="n">
        <f aca="false">MAX(1,MIN(6,INT(A29/tier_step_level)))</f>
        <v>1</v>
      </c>
      <c r="H29" s="1" t="n">
        <f aca="false">Oziqlanish!E11</f>
        <v>15</v>
      </c>
    </row>
    <row r="30" customFormat="false" ht="15" hidden="false" customHeight="false" outlineLevel="0" collapsed="false">
      <c r="A30" s="1" t="n">
        <v>7</v>
      </c>
      <c r="B30" s="1" t="n">
        <f aca="false">Darajalar!O12</f>
        <v>17</v>
      </c>
      <c r="C30" s="1" t="n">
        <f aca="false">IF(A30&lt;pack_unlock_level,0,ROUND(B30*share_scout,0))</f>
        <v>3</v>
      </c>
      <c r="D30" s="1" t="n">
        <f aca="false">B30-C30-E30-F30</f>
        <v>8</v>
      </c>
      <c r="E30" s="1" t="n">
        <f aca="false">IF(A30&lt;pack_unlock_level,0,ROUND(B30*share_defender,0))</f>
        <v>3</v>
      </c>
      <c r="F30" s="1" t="n">
        <f aca="false">IF(A30&lt;pack_unlock_level,1,MAX(1,ROUND(B30*share_hunter,0)))</f>
        <v>3</v>
      </c>
      <c r="G30" s="1" t="n">
        <f aca="false">MAX(1,MIN(6,INT(A30/tier_step_level)))</f>
        <v>1</v>
      </c>
      <c r="H30" s="1" t="n">
        <f aca="false">Oziqlanish!E12</f>
        <v>20</v>
      </c>
    </row>
    <row r="31" customFormat="false" ht="15" hidden="false" customHeight="false" outlineLevel="0" collapsed="false">
      <c r="A31" s="1" t="n">
        <v>8</v>
      </c>
      <c r="B31" s="1" t="n">
        <f aca="false">Darajalar!O13</f>
        <v>21</v>
      </c>
      <c r="C31" s="1" t="n">
        <f aca="false">IF(A31&lt;pack_unlock_level,0,ROUND(B31*share_scout,0))</f>
        <v>4</v>
      </c>
      <c r="D31" s="1" t="n">
        <f aca="false">B31-C31-E31-F31</f>
        <v>10</v>
      </c>
      <c r="E31" s="1" t="n">
        <f aca="false">IF(A31&lt;pack_unlock_level,0,ROUND(B31*share_defender,0))</f>
        <v>4</v>
      </c>
      <c r="F31" s="1" t="n">
        <f aca="false">IF(A31&lt;pack_unlock_level,1,MAX(1,ROUND(B31*share_hunter,0)))</f>
        <v>3</v>
      </c>
      <c r="G31" s="1" t="n">
        <f aca="false">MAX(1,MIN(6,INT(A31/tier_step_level)))</f>
        <v>2</v>
      </c>
      <c r="H31" s="1" t="n">
        <f aca="false">Oziqlanish!E13</f>
        <v>27</v>
      </c>
    </row>
    <row r="32" customFormat="false" ht="15" hidden="false" customHeight="false" outlineLevel="0" collapsed="false">
      <c r="A32" s="1" t="n">
        <v>9</v>
      </c>
      <c r="B32" s="1" t="n">
        <f aca="false">Darajalar!O14</f>
        <v>25</v>
      </c>
      <c r="C32" s="1" t="n">
        <f aca="false">IF(A32&lt;pack_unlock_level,0,ROUND(B32*share_scout,0))</f>
        <v>5</v>
      </c>
      <c r="D32" s="1" t="n">
        <f aca="false">B32-C32-E32-F32</f>
        <v>11</v>
      </c>
      <c r="E32" s="1" t="n">
        <f aca="false">IF(A32&lt;pack_unlock_level,0,ROUND(B32*share_defender,0))</f>
        <v>5</v>
      </c>
      <c r="F32" s="1" t="n">
        <f aca="false">IF(A32&lt;pack_unlock_level,1,MAX(1,ROUND(B32*share_hunter,0)))</f>
        <v>4</v>
      </c>
      <c r="G32" s="1" t="n">
        <f aca="false">MAX(1,MIN(6,INT(A32/tier_step_level)))</f>
        <v>2</v>
      </c>
      <c r="H32" s="1" t="n">
        <f aca="false">Oziqlanish!E14</f>
        <v>35</v>
      </c>
    </row>
    <row r="33" customFormat="false" ht="15" hidden="false" customHeight="false" outlineLevel="0" collapsed="false">
      <c r="A33" s="1" t="n">
        <v>10</v>
      </c>
      <c r="B33" s="1" t="n">
        <f aca="false">Darajalar!O15</f>
        <v>30</v>
      </c>
      <c r="C33" s="1" t="n">
        <f aca="false">IF(A33&lt;pack_unlock_level,0,ROUND(B33*share_scout,0))</f>
        <v>6</v>
      </c>
      <c r="D33" s="1" t="n">
        <f aca="false">B33-C33-E33-F33</f>
        <v>13</v>
      </c>
      <c r="E33" s="1" t="n">
        <f aca="false">IF(A33&lt;pack_unlock_level,0,ROUND(B33*share_defender,0))</f>
        <v>6</v>
      </c>
      <c r="F33" s="1" t="n">
        <f aca="false">IF(A33&lt;pack_unlock_level,1,MAX(1,ROUND(B33*share_hunter,0)))</f>
        <v>5</v>
      </c>
      <c r="G33" s="1" t="n">
        <f aca="false">MAX(1,MIN(6,INT(A33/tier_step_level)))</f>
        <v>2</v>
      </c>
      <c r="H33" s="1" t="n">
        <f aca="false">Oziqlanish!E15</f>
        <v>45</v>
      </c>
    </row>
    <row r="34" customFormat="false" ht="15" hidden="false" customHeight="false" outlineLevel="0" collapsed="false">
      <c r="A34" s="1" t="n">
        <v>11</v>
      </c>
      <c r="B34" s="1" t="n">
        <f aca="false">Darajalar!O16</f>
        <v>36</v>
      </c>
      <c r="C34" s="1" t="n">
        <f aca="false">IF(A34&lt;pack_unlock_level,0,ROUND(B34*share_scout,0))</f>
        <v>7</v>
      </c>
      <c r="D34" s="1" t="n">
        <f aca="false">B34-C34-E34-F34</f>
        <v>17</v>
      </c>
      <c r="E34" s="1" t="n">
        <f aca="false">IF(A34&lt;pack_unlock_level,0,ROUND(B34*share_defender,0))</f>
        <v>7</v>
      </c>
      <c r="F34" s="1" t="n">
        <f aca="false">IF(A34&lt;pack_unlock_level,1,MAX(1,ROUND(B34*share_hunter,0)))</f>
        <v>5</v>
      </c>
      <c r="G34" s="1" t="n">
        <f aca="false">MAX(1,MIN(6,INT(A34/tier_step_level)))</f>
        <v>2</v>
      </c>
      <c r="H34" s="1" t="n">
        <f aca="false">Oziqlanish!E16</f>
        <v>58</v>
      </c>
    </row>
    <row r="35" customFormat="false" ht="15" hidden="false" customHeight="false" outlineLevel="0" collapsed="false">
      <c r="A35" s="1" t="n">
        <v>12</v>
      </c>
      <c r="B35" s="1" t="n">
        <f aca="false">Darajalar!O17</f>
        <v>43</v>
      </c>
      <c r="C35" s="1" t="n">
        <f aca="false">IF(A35&lt;pack_unlock_level,0,ROUND(B35*share_scout,0))</f>
        <v>9</v>
      </c>
      <c r="D35" s="1" t="n">
        <f aca="false">B35-C35-E35-F35</f>
        <v>19</v>
      </c>
      <c r="E35" s="1" t="n">
        <f aca="false">IF(A35&lt;pack_unlock_level,0,ROUND(B35*share_defender,0))</f>
        <v>9</v>
      </c>
      <c r="F35" s="1" t="n">
        <f aca="false">IF(A35&lt;pack_unlock_level,1,MAX(1,ROUND(B35*share_hunter,0)))</f>
        <v>6</v>
      </c>
      <c r="G35" s="1" t="n">
        <f aca="false">MAX(1,MIN(6,INT(A35/tier_step_level)))</f>
        <v>3</v>
      </c>
      <c r="H35" s="1" t="n">
        <f aca="false">Oziqlanish!E17</f>
        <v>73</v>
      </c>
    </row>
    <row r="36" customFormat="false" ht="15" hidden="false" customHeight="false" outlineLevel="0" collapsed="false">
      <c r="A36" s="1" t="n">
        <v>13</v>
      </c>
      <c r="B36" s="1" t="n">
        <f aca="false">Darajalar!O18</f>
        <v>52</v>
      </c>
      <c r="C36" s="1" t="n">
        <f aca="false">IF(A36&lt;pack_unlock_level,0,ROUND(B36*share_scout,0))</f>
        <v>10</v>
      </c>
      <c r="D36" s="1" t="n">
        <f aca="false">B36-C36-E36-F36</f>
        <v>24</v>
      </c>
      <c r="E36" s="1" t="n">
        <f aca="false">IF(A36&lt;pack_unlock_level,0,ROUND(B36*share_defender,0))</f>
        <v>10</v>
      </c>
      <c r="F36" s="1" t="n">
        <f aca="false">IF(A36&lt;pack_unlock_level,1,MAX(1,ROUND(B36*share_hunter,0)))</f>
        <v>8</v>
      </c>
      <c r="G36" s="1" t="n">
        <f aca="false">MAX(1,MIN(6,INT(A36/tier_step_level)))</f>
        <v>3</v>
      </c>
      <c r="H36" s="1" t="n">
        <f aca="false">Oziqlanish!E18</f>
        <v>94</v>
      </c>
    </row>
    <row r="37" customFormat="false" ht="15" hidden="false" customHeight="false" outlineLevel="0" collapsed="false">
      <c r="A37" s="1" t="n">
        <v>14</v>
      </c>
      <c r="B37" s="1" t="n">
        <f aca="false">Darajalar!O19</f>
        <v>62</v>
      </c>
      <c r="C37" s="1" t="n">
        <f aca="false">IF(A37&lt;pack_unlock_level,0,ROUND(B37*share_scout,0))</f>
        <v>12</v>
      </c>
      <c r="D37" s="1" t="n">
        <f aca="false">B37-C37-E37-F37</f>
        <v>29</v>
      </c>
      <c r="E37" s="1" t="n">
        <f aca="false">IF(A37&lt;pack_unlock_level,0,ROUND(B37*share_defender,0))</f>
        <v>12</v>
      </c>
      <c r="F37" s="1" t="n">
        <f aca="false">IF(A37&lt;pack_unlock_level,1,MAX(1,ROUND(B37*share_hunter,0)))</f>
        <v>9</v>
      </c>
      <c r="G37" s="1" t="n">
        <f aca="false">MAX(1,MIN(6,INT(A37/tier_step_level)))</f>
        <v>3</v>
      </c>
      <c r="H37" s="1" t="n">
        <f aca="false">Oziqlanish!E19</f>
        <v>118</v>
      </c>
    </row>
    <row r="38" customFormat="false" ht="15" hidden="false" customHeight="false" outlineLevel="0" collapsed="false">
      <c r="A38" s="1" t="n">
        <v>15</v>
      </c>
      <c r="B38" s="1" t="n">
        <f aca="false">Darajalar!O20</f>
        <v>74</v>
      </c>
      <c r="C38" s="1" t="n">
        <f aca="false">IF(A38&lt;pack_unlock_level,0,ROUND(B38*share_scout,0))</f>
        <v>15</v>
      </c>
      <c r="D38" s="1" t="n">
        <f aca="false">B38-C38-E38-F38</f>
        <v>33</v>
      </c>
      <c r="E38" s="1" t="n">
        <f aca="false">IF(A38&lt;pack_unlock_level,0,ROUND(B38*share_defender,0))</f>
        <v>15</v>
      </c>
      <c r="F38" s="1" t="n">
        <f aca="false">IF(A38&lt;pack_unlock_level,1,MAX(1,ROUND(B38*share_hunter,0)))</f>
        <v>11</v>
      </c>
      <c r="G38" s="1" t="n">
        <f aca="false">MAX(1,MIN(6,INT(A38/tier_step_level)))</f>
        <v>3</v>
      </c>
      <c r="H38" s="1" t="n">
        <f aca="false">Oziqlanish!E20</f>
        <v>148</v>
      </c>
    </row>
    <row r="39" customFormat="false" ht="15" hidden="false" customHeight="false" outlineLevel="0" collapsed="false">
      <c r="A39" s="1" t="n">
        <v>16</v>
      </c>
      <c r="B39" s="1" t="n">
        <f aca="false">Darajalar!O21</f>
        <v>89</v>
      </c>
      <c r="C39" s="1" t="n">
        <f aca="false">IF(A39&lt;pack_unlock_level,0,ROUND(B39*share_scout,0))</f>
        <v>18</v>
      </c>
      <c r="D39" s="1" t="n">
        <f aca="false">B39-C39-E39-F39</f>
        <v>40</v>
      </c>
      <c r="E39" s="1" t="n">
        <f aca="false">IF(A39&lt;pack_unlock_level,0,ROUND(B39*share_defender,0))</f>
        <v>18</v>
      </c>
      <c r="F39" s="1" t="n">
        <f aca="false">IF(A39&lt;pack_unlock_level,1,MAX(1,ROUND(B39*share_hunter,0)))</f>
        <v>13</v>
      </c>
      <c r="G39" s="1" t="n">
        <f aca="false">MAX(1,MIN(6,INT(A39/tier_step_level)))</f>
        <v>4</v>
      </c>
      <c r="H39" s="1" t="n">
        <f aca="false">Oziqlanish!E21</f>
        <v>187</v>
      </c>
    </row>
    <row r="40" customFormat="false" ht="15" hidden="false" customHeight="false" outlineLevel="0" collapsed="false">
      <c r="A40" s="1" t="n">
        <v>17</v>
      </c>
      <c r="B40" s="1" t="n">
        <f aca="false">Darajalar!O22</f>
        <v>107</v>
      </c>
      <c r="C40" s="1" t="n">
        <f aca="false">IF(A40&lt;pack_unlock_level,0,ROUND(B40*share_scout,0))</f>
        <v>21</v>
      </c>
      <c r="D40" s="1" t="n">
        <f aca="false">B40-C40-E40-F40</f>
        <v>49</v>
      </c>
      <c r="E40" s="1" t="n">
        <f aca="false">IF(A40&lt;pack_unlock_level,0,ROUND(B40*share_defender,0))</f>
        <v>21</v>
      </c>
      <c r="F40" s="1" t="n">
        <f aca="false">IF(A40&lt;pack_unlock_level,1,MAX(1,ROUND(B40*share_hunter,0)))</f>
        <v>16</v>
      </c>
      <c r="G40" s="1" t="n">
        <f aca="false">MAX(1,MIN(6,INT(A40/tier_step_level)))</f>
        <v>4</v>
      </c>
      <c r="H40" s="1" t="n">
        <f aca="false">Oziqlanish!E22</f>
        <v>235</v>
      </c>
    </row>
    <row r="41" customFormat="false" ht="15" hidden="false" customHeight="false" outlineLevel="0" collapsed="false">
      <c r="A41" s="1" t="n">
        <v>18</v>
      </c>
      <c r="B41" s="1" t="n">
        <f aca="false">Darajalar!O23</f>
        <v>128</v>
      </c>
      <c r="C41" s="1" t="n">
        <f aca="false">IF(A41&lt;pack_unlock_level,0,ROUND(B41*share_scout,0))</f>
        <v>26</v>
      </c>
      <c r="D41" s="1" t="n">
        <f aca="false">B41-C41-E41-F41</f>
        <v>57</v>
      </c>
      <c r="E41" s="1" t="n">
        <f aca="false">IF(A41&lt;pack_unlock_level,0,ROUND(B41*share_defender,0))</f>
        <v>26</v>
      </c>
      <c r="F41" s="1" t="n">
        <f aca="false">IF(A41&lt;pack_unlock_level,1,MAX(1,ROUND(B41*share_hunter,0)))</f>
        <v>19</v>
      </c>
      <c r="G41" s="1" t="n">
        <f aca="false">MAX(1,MIN(6,INT(A41/tier_step_level)))</f>
        <v>4</v>
      </c>
      <c r="H41" s="1" t="n">
        <f aca="false">Oziqlanish!E23</f>
        <v>294</v>
      </c>
    </row>
    <row r="42" customFormat="false" ht="15" hidden="false" customHeight="false" outlineLevel="0" collapsed="false">
      <c r="A42" s="1" t="n">
        <v>19</v>
      </c>
      <c r="B42" s="1" t="n">
        <f aca="false">Darajalar!O24</f>
        <v>154</v>
      </c>
      <c r="C42" s="1" t="n">
        <f aca="false">IF(A42&lt;pack_unlock_level,0,ROUND(B42*share_scout,0))</f>
        <v>31</v>
      </c>
      <c r="D42" s="1" t="n">
        <f aca="false">B42-C42-E42-F42</f>
        <v>69</v>
      </c>
      <c r="E42" s="1" t="n">
        <f aca="false">IF(A42&lt;pack_unlock_level,0,ROUND(B42*share_defender,0))</f>
        <v>31</v>
      </c>
      <c r="F42" s="1" t="n">
        <f aca="false">IF(A42&lt;pack_unlock_level,1,MAX(1,ROUND(B42*share_hunter,0)))</f>
        <v>23</v>
      </c>
      <c r="G42" s="1" t="n">
        <f aca="false">MAX(1,MIN(6,INT(A42/tier_step_level)))</f>
        <v>4</v>
      </c>
      <c r="H42" s="1" t="n">
        <f aca="false">Oziqlanish!E24</f>
        <v>370</v>
      </c>
    </row>
    <row r="43" customFormat="false" ht="15" hidden="false" customHeight="false" outlineLevel="0" collapsed="false">
      <c r="A43" s="1" t="n">
        <v>20</v>
      </c>
      <c r="B43" s="1" t="n">
        <f aca="false">Darajalar!O25</f>
        <v>185</v>
      </c>
      <c r="C43" s="1" t="n">
        <f aca="false">IF(A43&lt;pack_unlock_level,0,ROUND(B43*share_scout,0))</f>
        <v>37</v>
      </c>
      <c r="D43" s="1" t="n">
        <f aca="false">B43-C43-E43-F43</f>
        <v>83</v>
      </c>
      <c r="E43" s="1" t="n">
        <f aca="false">IF(A43&lt;pack_unlock_level,0,ROUND(B43*share_defender,0))</f>
        <v>37</v>
      </c>
      <c r="F43" s="1" t="n">
        <f aca="false">IF(A43&lt;pack_unlock_level,1,MAX(1,ROUND(B43*share_hunter,0)))</f>
        <v>28</v>
      </c>
      <c r="G43" s="1" t="n">
        <f aca="false">MAX(1,MIN(6,INT(A43/tier_step_level)))</f>
        <v>5</v>
      </c>
      <c r="H43" s="1" t="n">
        <f aca="false">Oziqlanish!E25</f>
        <v>463</v>
      </c>
    </row>
    <row r="44" customFormat="false" ht="15" hidden="false" customHeight="false" outlineLevel="0" collapsed="false">
      <c r="A44" s="1" t="n">
        <v>21</v>
      </c>
      <c r="B44" s="1" t="n">
        <f aca="false">Darajalar!O26</f>
        <v>222</v>
      </c>
      <c r="C44" s="1" t="n">
        <f aca="false">IF(A44&lt;pack_unlock_level,0,ROUND(B44*share_scout,0))</f>
        <v>44</v>
      </c>
      <c r="D44" s="1" t="n">
        <f aca="false">B44-C44-E44-F44</f>
        <v>101</v>
      </c>
      <c r="E44" s="1" t="n">
        <f aca="false">IF(A44&lt;pack_unlock_level,0,ROUND(B44*share_defender,0))</f>
        <v>44</v>
      </c>
      <c r="F44" s="1" t="n">
        <f aca="false">IF(A44&lt;pack_unlock_level,1,MAX(1,ROUND(B44*share_hunter,0)))</f>
        <v>33</v>
      </c>
      <c r="G44" s="1" t="n">
        <f aca="false">MAX(1,MIN(6,INT(A44/tier_step_level)))</f>
        <v>5</v>
      </c>
      <c r="H44" s="1" t="n">
        <f aca="false">Oziqlanish!E26</f>
        <v>577</v>
      </c>
    </row>
    <row r="45" customFormat="false" ht="15" hidden="false" customHeight="false" outlineLevel="0" collapsed="false">
      <c r="A45" s="1" t="n">
        <v>22</v>
      </c>
      <c r="B45" s="1" t="n">
        <f aca="false">Darajalar!O27</f>
        <v>266</v>
      </c>
      <c r="C45" s="1" t="n">
        <f aca="false">IF(A45&lt;pack_unlock_level,0,ROUND(B45*share_scout,0))</f>
        <v>53</v>
      </c>
      <c r="D45" s="1" t="n">
        <f aca="false">B45-C45-E45-F45</f>
        <v>120</v>
      </c>
      <c r="E45" s="1" t="n">
        <f aca="false">IF(A45&lt;pack_unlock_level,0,ROUND(B45*share_defender,0))</f>
        <v>53</v>
      </c>
      <c r="F45" s="1" t="n">
        <f aca="false">IF(A45&lt;pack_unlock_level,1,MAX(1,ROUND(B45*share_hunter,0)))</f>
        <v>40</v>
      </c>
      <c r="G45" s="1" t="n">
        <f aca="false">MAX(1,MIN(6,INT(A45/tier_step_level)))</f>
        <v>5</v>
      </c>
      <c r="H45" s="1" t="n">
        <f aca="false">Oziqlanish!E27</f>
        <v>718</v>
      </c>
    </row>
    <row r="46" customFormat="false" ht="15" hidden="false" customHeight="false" outlineLevel="0" collapsed="false">
      <c r="A46" s="1" t="n">
        <v>23</v>
      </c>
      <c r="B46" s="1" t="n">
        <f aca="false">Darajalar!O28</f>
        <v>319</v>
      </c>
      <c r="C46" s="1" t="n">
        <f aca="false">IF(A46&lt;pack_unlock_level,0,ROUND(B46*share_scout,0))</f>
        <v>64</v>
      </c>
      <c r="D46" s="1" t="n">
        <f aca="false">B46-C46-E46-F46</f>
        <v>143</v>
      </c>
      <c r="E46" s="1" t="n">
        <f aca="false">IF(A46&lt;pack_unlock_level,0,ROUND(B46*share_defender,0))</f>
        <v>64</v>
      </c>
      <c r="F46" s="1" t="n">
        <f aca="false">IF(A46&lt;pack_unlock_level,1,MAX(1,ROUND(B46*share_hunter,0)))</f>
        <v>48</v>
      </c>
      <c r="G46" s="1" t="n">
        <f aca="false">MAX(1,MIN(6,INT(A46/tier_step_level)))</f>
        <v>5</v>
      </c>
      <c r="H46" s="1" t="n">
        <f aca="false">Oziqlanish!E28</f>
        <v>893</v>
      </c>
    </row>
    <row r="47" customFormat="false" ht="15" hidden="false" customHeight="false" outlineLevel="0" collapsed="false">
      <c r="A47" s="1" t="n">
        <v>24</v>
      </c>
      <c r="B47" s="1" t="n">
        <f aca="false">Darajalar!O29</f>
        <v>383</v>
      </c>
      <c r="C47" s="1" t="n">
        <f aca="false">IF(A47&lt;pack_unlock_level,0,ROUND(B47*share_scout,0))</f>
        <v>77</v>
      </c>
      <c r="D47" s="1" t="n">
        <f aca="false">B47-C47-E47-F47</f>
        <v>172</v>
      </c>
      <c r="E47" s="1" t="n">
        <f aca="false">IF(A47&lt;pack_unlock_level,0,ROUND(B47*share_defender,0))</f>
        <v>77</v>
      </c>
      <c r="F47" s="1" t="n">
        <f aca="false">IF(A47&lt;pack_unlock_level,1,MAX(1,ROUND(B47*share_hunter,0)))</f>
        <v>57</v>
      </c>
      <c r="G47" s="1" t="n">
        <f aca="false">MAX(1,MIN(6,INT(A47/tier_step_level)))</f>
        <v>6</v>
      </c>
      <c r="H47" s="1" t="n">
        <f aca="false">Oziqlanish!E29</f>
        <v>1111</v>
      </c>
    </row>
    <row r="48" customFormat="false" ht="15" hidden="false" customHeight="false" outlineLevel="0" collapsed="false">
      <c r="A48" s="1" t="n">
        <v>25</v>
      </c>
      <c r="B48" s="1" t="n">
        <f aca="false">Darajalar!O30</f>
        <v>460</v>
      </c>
      <c r="C48" s="1" t="n">
        <f aca="false">IF(A48&lt;pack_unlock_level,0,ROUND(B48*share_scout,0))</f>
        <v>92</v>
      </c>
      <c r="D48" s="1" t="n">
        <f aca="false">B48-C48-E48-F48</f>
        <v>207</v>
      </c>
      <c r="E48" s="1" t="n">
        <f aca="false">IF(A48&lt;pack_unlock_level,0,ROUND(B48*share_defender,0))</f>
        <v>92</v>
      </c>
      <c r="F48" s="1" t="n">
        <f aca="false">IF(A48&lt;pack_unlock_level,1,MAX(1,ROUND(B48*share_hunter,0)))</f>
        <v>69</v>
      </c>
      <c r="G48" s="1" t="n">
        <f aca="false">MAX(1,MIN(6,INT(A48/tier_step_level)))</f>
        <v>6</v>
      </c>
      <c r="H48" s="1" t="n">
        <f aca="false">Oziqlanish!E30</f>
        <v>1380</v>
      </c>
    </row>
    <row r="49" customFormat="false" ht="15" hidden="false" customHeight="false" outlineLevel="0" collapsed="false">
      <c r="A49" s="1" t="s">
        <v>338</v>
      </c>
    </row>
    <row r="50" customFormat="false" ht="15" hidden="false" customHeight="false" outlineLevel="0" collapsed="false">
      <c r="A50" s="1" t="s">
        <v>853</v>
      </c>
      <c r="B50" s="1" t="s">
        <v>854</v>
      </c>
    </row>
    <row r="51" customFormat="false" ht="15" hidden="false" customHeight="false" outlineLevel="0" collapsed="false">
      <c r="A51" s="1" t="s">
        <v>840</v>
      </c>
      <c r="B51" s="1" t="s">
        <v>855</v>
      </c>
    </row>
    <row r="52" customFormat="false" ht="15" hidden="false" customHeight="false" outlineLevel="0" collapsed="false">
      <c r="A52" s="1" t="s">
        <v>856</v>
      </c>
      <c r="B52" s="1" t="s">
        <v>857</v>
      </c>
    </row>
    <row r="53" customFormat="false" ht="15" hidden="false" customHeight="false" outlineLevel="0" collapsed="false">
      <c r="A53" s="1" t="s">
        <v>858</v>
      </c>
      <c r="B53" s="1" t="s">
        <v>859</v>
      </c>
    </row>
    <row r="54" customFormat="false" ht="15" hidden="false" customHeight="false" outlineLevel="0" collapsed="false">
      <c r="A54" s="1" t="s">
        <v>860</v>
      </c>
      <c r="B54" s="1" t="s">
        <v>861</v>
      </c>
    </row>
    <row r="55" customFormat="false" ht="15" hidden="false" customHeight="false" outlineLevel="0" collapsed="false">
      <c r="A55" s="1" t="s">
        <v>862</v>
      </c>
      <c r="B55" s="1" t="s">
        <v>863</v>
      </c>
    </row>
    <row r="56" customFormat="false" ht="15" hidden="false" customHeight="false" outlineLevel="0" collapsed="false">
      <c r="A56" s="1" t="s">
        <v>405</v>
      </c>
      <c r="B56" s="1" t="s">
        <v>864</v>
      </c>
    </row>
    <row r="57" customFormat="false" ht="15" hidden="false" customHeight="false" outlineLevel="0" collapsed="false">
      <c r="A57" s="1" t="s">
        <v>865</v>
      </c>
    </row>
    <row r="58" customFormat="false" ht="15" hidden="false" customHeight="false" outlineLevel="0" collapsed="false">
      <c r="A58" s="1" t="s">
        <v>866</v>
      </c>
    </row>
    <row r="59" customFormat="false" ht="15" hidden="false" customHeight="false" outlineLevel="0" collapsed="false">
      <c r="A59" s="1" t="s">
        <v>867</v>
      </c>
    </row>
    <row r="60" customFormat="false" ht="15" hidden="false" customHeight="false" outlineLevel="0" collapsed="false">
      <c r="A60" s="1" t="s">
        <v>868</v>
      </c>
    </row>
    <row r="61" customFormat="false" ht="15" hidden="false" customHeight="false" outlineLevel="0" collapsed="false">
      <c r="A61" s="1" t="s">
        <v>869</v>
      </c>
      <c r="B61" s="1" t="s">
        <v>432</v>
      </c>
      <c r="C61" s="1" t="s">
        <v>870</v>
      </c>
      <c r="D61" s="1" t="s">
        <v>871</v>
      </c>
      <c r="E61" s="1" t="s">
        <v>239</v>
      </c>
    </row>
    <row r="62" customFormat="false" ht="15" hidden="false" customHeight="false" outlineLevel="0" collapsed="false">
      <c r="A62" s="3" t="n">
        <v>0.05</v>
      </c>
      <c r="B62" s="1" t="n">
        <f aca="false">MAX(occupancy_min,(A62/occupancy_normal)^occupancy_exp)</f>
        <v>0.5</v>
      </c>
      <c r="C62" s="1" t="n">
        <f aca="false">ROUND(train_time_min*B62,1)</f>
        <v>2</v>
      </c>
      <c r="D62" s="1" t="n">
        <f aca="false">ROUND(Rollar!$H$18*B62,1)</f>
        <v>12.9</v>
      </c>
      <c r="E62" s="1" t="str">
        <f aca="false">IF(B62&lt;1,"Tez tiklanish - chegirma",IF(B62=1,"Normal",IF(B62&lt;2,"Sekinlashdi","Qoʻshin toʻlgan - juda sekin")))</f>
        <v>Tez tiklanish - chegirma</v>
      </c>
    </row>
    <row r="63" customFormat="false" ht="15" hidden="false" customHeight="false" outlineLevel="0" collapsed="false">
      <c r="A63" s="3" t="n">
        <v>0.15</v>
      </c>
      <c r="B63" s="1" t="n">
        <f aca="false">MAX(occupancy_min,(A63/occupancy_normal)^occupancy_exp)</f>
        <v>0.5</v>
      </c>
      <c r="C63" s="1" t="n">
        <f aca="false">ROUND(train_time_min*B63,1)</f>
        <v>2</v>
      </c>
      <c r="D63" s="1" t="n">
        <f aca="false">ROUND(Rollar!$H$18*B63,1)</f>
        <v>12.9</v>
      </c>
      <c r="E63" s="1" t="str">
        <f aca="false">IF(B63&lt;1,"Tez tiklanish - chegirma",IF(B63=1,"Normal",IF(B63&lt;2,"Sekinlashdi","Qoʻshin toʻlgan - juda sekin")))</f>
        <v>Tez tiklanish - chegirma</v>
      </c>
    </row>
    <row r="64" customFormat="false" ht="15" hidden="false" customHeight="false" outlineLevel="0" collapsed="false">
      <c r="A64" s="3" t="n">
        <v>0.3</v>
      </c>
      <c r="B64" s="1" t="n">
        <f aca="false">MAX(occupancy_min,(A64/occupancy_normal)^occupancy_exp)</f>
        <v>0.5</v>
      </c>
      <c r="C64" s="1" t="n">
        <f aca="false">ROUND(train_time_min*B64,1)</f>
        <v>2</v>
      </c>
      <c r="D64" s="1" t="n">
        <f aca="false">ROUND(Rollar!$H$18*B64,1)</f>
        <v>12.9</v>
      </c>
      <c r="E64" s="1" t="str">
        <f aca="false">IF(B64&lt;1,"Tez tiklanish - chegirma",IF(B64=1,"Normal",IF(B64&lt;2,"Sekinlashdi","Qoʻshin toʻlgan - juda sekin")))</f>
        <v>Tez tiklanish - chegirma</v>
      </c>
    </row>
    <row r="65" customFormat="false" ht="15" hidden="false" customHeight="false" outlineLevel="0" collapsed="false">
      <c r="A65" s="3" t="n">
        <v>0.45</v>
      </c>
      <c r="B65" s="1" t="n">
        <f aca="false">MAX(occupancy_min,(A65/occupancy_normal)^occupancy_exp)</f>
        <v>0.595813410589957</v>
      </c>
      <c r="C65" s="1" t="n">
        <f aca="false">ROUND(train_time_min*B65,1)</f>
        <v>2.4</v>
      </c>
      <c r="D65" s="1" t="n">
        <f aca="false">ROUND(Rollar!$H$18*B65,1)</f>
        <v>15.3</v>
      </c>
      <c r="E65" s="1" t="str">
        <f aca="false">IF(B65&lt;1,"Tez tiklanish - chegirma",IF(B65=1,"Normal",IF(B65&lt;2,"Sekinlashdi","Qoʻshin toʻlgan - juda sekin")))</f>
        <v>Tez tiklanish - chegirma</v>
      </c>
    </row>
    <row r="66" customFormat="false" ht="15" hidden="false" customHeight="false" outlineLevel="0" collapsed="false">
      <c r="A66" s="3" t="n">
        <v>0.6</v>
      </c>
      <c r="B66" s="1" t="n">
        <f aca="false">MAX(occupancy_min,(A66/occupancy_normal)^occupancy_exp)</f>
        <v>1</v>
      </c>
      <c r="C66" s="1" t="n">
        <f aca="false">ROUND(train_time_min*B66,1)</f>
        <v>4</v>
      </c>
      <c r="D66" s="1" t="n">
        <f aca="false">ROUND(Rollar!$H$18*B66,1)</f>
        <v>25.7</v>
      </c>
      <c r="E66" s="1" t="str">
        <f aca="false">IF(B66&lt;1,"Tez tiklanish - chegirma",IF(B66=1,"Normal",IF(B66&lt;2,"Sekinlashdi","Qoʻshin toʻlgan - juda sekin")))</f>
        <v>Normal</v>
      </c>
    </row>
    <row r="67" customFormat="false" ht="15" hidden="false" customHeight="false" outlineLevel="0" collapsed="false">
      <c r="A67" s="3" t="n">
        <v>0.75</v>
      </c>
      <c r="B67" s="1" t="n">
        <f aca="false">MAX(occupancy_min,(A67/occupancy_normal)^occupancy_exp)</f>
        <v>1.49430078092193</v>
      </c>
      <c r="C67" s="1" t="n">
        <f aca="false">ROUND(train_time_min*B67,1)</f>
        <v>6</v>
      </c>
      <c r="D67" s="1" t="n">
        <f aca="false">ROUND(Rollar!$H$18*B67,1)</f>
        <v>38.4</v>
      </c>
      <c r="E67" s="1" t="str">
        <f aca="false">IF(B67&lt;1,"Tez tiklanish - chegirma",IF(B67=1,"Normal",IF(B67&lt;2,"Sekinlashdi","Qoʻshin toʻlgan - juda sekin")))</f>
        <v>Sekinlashdi</v>
      </c>
    </row>
    <row r="68" customFormat="false" ht="15" hidden="false" customHeight="false" outlineLevel="0" collapsed="false">
      <c r="A68" s="3" t="n">
        <v>0.9</v>
      </c>
      <c r="B68" s="1" t="n">
        <f aca="false">MAX(occupancy_min,(A68/occupancy_normal)^occupancy_exp)</f>
        <v>2.07474280083389</v>
      </c>
      <c r="C68" s="1" t="n">
        <f aca="false">ROUND(train_time_min*B68,1)</f>
        <v>8.3</v>
      </c>
      <c r="D68" s="1" t="n">
        <f aca="false">ROUND(Rollar!$H$18*B68,1)</f>
        <v>53.3</v>
      </c>
      <c r="E68" s="1" t="str">
        <f aca="false">IF(B68&lt;1,"Tez tiklanish - chegirma",IF(B68=1,"Normal",IF(B68&lt;2,"Sekinlashdi","Qoʻshin toʻlgan - juda sekin")))</f>
        <v>Qoʻshin toʻlgan - juda sekin</v>
      </c>
    </row>
    <row r="69" customFormat="false" ht="15" hidden="false" customHeight="false" outlineLevel="0" collapsed="false">
      <c r="A69" s="3" t="n">
        <v>1</v>
      </c>
      <c r="B69" s="1" t="n">
        <f aca="false">MAX(occupancy_min,(A69/occupancy_normal)^occupancy_exp)</f>
        <v>2.50800125402065</v>
      </c>
      <c r="C69" s="1" t="n">
        <f aca="false">ROUND(train_time_min*B69,1)</f>
        <v>10</v>
      </c>
      <c r="D69" s="1" t="n">
        <f aca="false">ROUND(Rollar!$H$18*B69,1)</f>
        <v>64.5</v>
      </c>
      <c r="E69" s="1" t="str">
        <f aca="false">IF(B69&lt;1,"Tez tiklanish - chegirma",IF(B69=1,"Normal",IF(B69&lt;2,"Sekinlashdi","Qoʻshin toʻlgan - juda sekin")))</f>
        <v>Qoʻshin toʻlgan - juda sekin</v>
      </c>
    </row>
    <row r="70" customFormat="false" ht="15" hidden="false" customHeight="false" outlineLevel="0" collapsed="false">
      <c r="A70" s="1" t="s">
        <v>872</v>
      </c>
    </row>
    <row r="71" customFormat="false" ht="15" hidden="false" customHeight="false" outlineLevel="0" collapsed="false">
      <c r="A71" s="2" t="s">
        <v>2</v>
      </c>
      <c r="B71" s="2" t="s">
        <v>850</v>
      </c>
      <c r="C71" s="2" t="s">
        <v>873</v>
      </c>
      <c r="D71" s="2" t="s">
        <v>431</v>
      </c>
      <c r="E71" s="2" t="s">
        <v>874</v>
      </c>
      <c r="F71" s="2" t="s">
        <v>875</v>
      </c>
      <c r="G71" s="2" t="s">
        <v>876</v>
      </c>
    </row>
    <row r="72" customFormat="false" ht="15" hidden="false" customHeight="false" outlineLevel="0" collapsed="false">
      <c r="A72" s="1" t="n">
        <v>1</v>
      </c>
      <c r="B72" s="1" t="n">
        <f aca="false">Darajalar!O6</f>
        <v>1</v>
      </c>
      <c r="C72" s="1" t="n">
        <f aca="false">ROUND(B72*0.3,0)</f>
        <v>0</v>
      </c>
      <c r="D72" s="1" t="n">
        <f aca="false">C72/B72</f>
        <v>0</v>
      </c>
      <c r="E72" s="1" t="n">
        <f aca="false">MAX(occupancy_min,(D72/occupancy_normal)^occupancy_exp)</f>
        <v>0.5</v>
      </c>
      <c r="F72" s="1" t="n">
        <f aca="false">B72-C72</f>
        <v>1</v>
      </c>
      <c r="G72" s="1" t="n">
        <f aca="false">ROUND(F72*train_time_min*E72/60,1)</f>
        <v>0</v>
      </c>
    </row>
    <row r="73" customFormat="false" ht="15" hidden="false" customHeight="false" outlineLevel="0" collapsed="false">
      <c r="A73" s="1" t="n">
        <v>2</v>
      </c>
      <c r="B73" s="1" t="n">
        <f aca="false">Darajalar!O7</f>
        <v>1</v>
      </c>
      <c r="C73" s="1" t="n">
        <f aca="false">ROUND(B73*0.3,0)</f>
        <v>0</v>
      </c>
      <c r="D73" s="1" t="n">
        <f aca="false">C73/B73</f>
        <v>0</v>
      </c>
      <c r="E73" s="1" t="n">
        <f aca="false">MAX(occupancy_min,(D73/occupancy_normal)^occupancy_exp)</f>
        <v>0.5</v>
      </c>
      <c r="F73" s="1" t="n">
        <f aca="false">B73-C73</f>
        <v>1</v>
      </c>
      <c r="G73" s="1" t="n">
        <f aca="false">ROUND(F73*train_time_min*E73/60,1)</f>
        <v>0</v>
      </c>
    </row>
    <row r="74" customFormat="false" ht="15" hidden="false" customHeight="false" outlineLevel="0" collapsed="false">
      <c r="A74" s="1" t="n">
        <v>3</v>
      </c>
      <c r="B74" s="1" t="n">
        <f aca="false">Darajalar!O8</f>
        <v>1</v>
      </c>
      <c r="C74" s="1" t="n">
        <f aca="false">ROUND(B74*0.3,0)</f>
        <v>0</v>
      </c>
      <c r="D74" s="1" t="n">
        <f aca="false">C74/B74</f>
        <v>0</v>
      </c>
      <c r="E74" s="1" t="n">
        <f aca="false">MAX(occupancy_min,(D74/occupancy_normal)^occupancy_exp)</f>
        <v>0.5</v>
      </c>
      <c r="F74" s="1" t="n">
        <f aca="false">B74-C74</f>
        <v>1</v>
      </c>
      <c r="G74" s="1" t="n">
        <f aca="false">ROUND(F74*train_time_min*E74/60,1)</f>
        <v>0</v>
      </c>
    </row>
    <row r="75" customFormat="false" ht="15" hidden="false" customHeight="false" outlineLevel="0" collapsed="false">
      <c r="A75" s="1" t="n">
        <v>4</v>
      </c>
      <c r="B75" s="1" t="n">
        <f aca="false">Darajalar!O9</f>
        <v>10</v>
      </c>
      <c r="C75" s="1" t="n">
        <f aca="false">ROUND(B75*0.3,0)</f>
        <v>3</v>
      </c>
      <c r="D75" s="1" t="n">
        <f aca="false">C75/B75</f>
        <v>0.3</v>
      </c>
      <c r="E75" s="1" t="n">
        <f aca="false">MAX(occupancy_min,(D75/occupancy_normal)^occupancy_exp)</f>
        <v>0.5</v>
      </c>
      <c r="F75" s="1" t="n">
        <f aca="false">B75-C75</f>
        <v>7</v>
      </c>
      <c r="G75" s="1" t="n">
        <f aca="false">ROUND(F75*train_time_min*E75/60,1)</f>
        <v>0.2</v>
      </c>
    </row>
    <row r="76" customFormat="false" ht="15" hidden="false" customHeight="false" outlineLevel="0" collapsed="false">
      <c r="A76" s="1" t="n">
        <v>5</v>
      </c>
      <c r="B76" s="1" t="n">
        <f aca="false">Darajalar!O10</f>
        <v>12</v>
      </c>
      <c r="C76" s="1" t="n">
        <f aca="false">ROUND(B76*0.3,0)</f>
        <v>4</v>
      </c>
      <c r="D76" s="1" t="n">
        <f aca="false">C76/B76</f>
        <v>0.333333333333333</v>
      </c>
      <c r="E76" s="1" t="n">
        <f aca="false">MAX(occupancy_min,(D76/occupancy_normal)^occupancy_exp)</f>
        <v>0.5</v>
      </c>
      <c r="F76" s="1" t="n">
        <f aca="false">B76-C76</f>
        <v>8</v>
      </c>
      <c r="G76" s="1" t="n">
        <f aca="false">ROUND(F76*train_time_min*E76/60,1)</f>
        <v>0.3</v>
      </c>
    </row>
    <row r="77" customFormat="false" ht="15" hidden="false" customHeight="false" outlineLevel="0" collapsed="false">
      <c r="A77" s="1" t="n">
        <v>6</v>
      </c>
      <c r="B77" s="1" t="n">
        <f aca="false">Darajalar!O11</f>
        <v>14</v>
      </c>
      <c r="C77" s="1" t="n">
        <f aca="false">ROUND(B77*0.3,0)</f>
        <v>4</v>
      </c>
      <c r="D77" s="1" t="n">
        <f aca="false">C77/B77</f>
        <v>0.285714285714286</v>
      </c>
      <c r="E77" s="1" t="n">
        <f aca="false">MAX(occupancy_min,(D77/occupancy_normal)^occupancy_exp)</f>
        <v>0.5</v>
      </c>
      <c r="F77" s="1" t="n">
        <f aca="false">B77-C77</f>
        <v>10</v>
      </c>
      <c r="G77" s="1" t="n">
        <f aca="false">ROUND(F77*train_time_min*E77/60,1)</f>
        <v>0.3</v>
      </c>
    </row>
    <row r="78" customFormat="false" ht="15" hidden="false" customHeight="false" outlineLevel="0" collapsed="false">
      <c r="A78" s="1" t="n">
        <v>7</v>
      </c>
      <c r="B78" s="1" t="n">
        <f aca="false">Darajalar!O12</f>
        <v>17</v>
      </c>
      <c r="C78" s="1" t="n">
        <f aca="false">ROUND(B78*0.3,0)</f>
        <v>5</v>
      </c>
      <c r="D78" s="1" t="n">
        <f aca="false">C78/B78</f>
        <v>0.294117647058824</v>
      </c>
      <c r="E78" s="1" t="n">
        <f aca="false">MAX(occupancy_min,(D78/occupancy_normal)^occupancy_exp)</f>
        <v>0.5</v>
      </c>
      <c r="F78" s="1" t="n">
        <f aca="false">B78-C78</f>
        <v>12</v>
      </c>
      <c r="G78" s="1" t="n">
        <f aca="false">ROUND(F78*train_time_min*E78/60,1)</f>
        <v>0.4</v>
      </c>
    </row>
    <row r="79" customFormat="false" ht="15" hidden="false" customHeight="false" outlineLevel="0" collapsed="false">
      <c r="A79" s="1" t="n">
        <v>8</v>
      </c>
      <c r="B79" s="1" t="n">
        <f aca="false">Darajalar!O13</f>
        <v>21</v>
      </c>
      <c r="C79" s="1" t="n">
        <f aca="false">ROUND(B79*0.3,0)</f>
        <v>6</v>
      </c>
      <c r="D79" s="1" t="n">
        <f aca="false">C79/B79</f>
        <v>0.285714285714286</v>
      </c>
      <c r="E79" s="1" t="n">
        <f aca="false">MAX(occupancy_min,(D79/occupancy_normal)^occupancy_exp)</f>
        <v>0.5</v>
      </c>
      <c r="F79" s="1" t="n">
        <f aca="false">B79-C79</f>
        <v>15</v>
      </c>
      <c r="G79" s="1" t="n">
        <f aca="false">ROUND(F79*train_time_min*E79/60,1)</f>
        <v>0.5</v>
      </c>
    </row>
    <row r="80" customFormat="false" ht="15" hidden="false" customHeight="false" outlineLevel="0" collapsed="false">
      <c r="A80" s="1" t="n">
        <v>9</v>
      </c>
      <c r="B80" s="1" t="n">
        <f aca="false">Darajalar!O14</f>
        <v>25</v>
      </c>
      <c r="C80" s="1" t="n">
        <f aca="false">ROUND(B80*0.3,0)</f>
        <v>8</v>
      </c>
      <c r="D80" s="1" t="n">
        <f aca="false">C80/B80</f>
        <v>0.32</v>
      </c>
      <c r="E80" s="1" t="n">
        <f aca="false">MAX(occupancy_min,(D80/occupancy_normal)^occupancy_exp)</f>
        <v>0.5</v>
      </c>
      <c r="F80" s="1" t="n">
        <f aca="false">B80-C80</f>
        <v>17</v>
      </c>
      <c r="G80" s="1" t="n">
        <f aca="false">ROUND(F80*train_time_min*E80/60,1)</f>
        <v>0.6</v>
      </c>
    </row>
    <row r="81" customFormat="false" ht="15" hidden="false" customHeight="false" outlineLevel="0" collapsed="false">
      <c r="A81" s="1" t="n">
        <v>10</v>
      </c>
      <c r="B81" s="1" t="n">
        <f aca="false">Darajalar!O15</f>
        <v>30</v>
      </c>
      <c r="C81" s="1" t="n">
        <f aca="false">ROUND(B81*0.3,0)</f>
        <v>9</v>
      </c>
      <c r="D81" s="1" t="n">
        <f aca="false">C81/B81</f>
        <v>0.3</v>
      </c>
      <c r="E81" s="1" t="n">
        <f aca="false">MAX(occupancy_min,(D81/occupancy_normal)^occupancy_exp)</f>
        <v>0.5</v>
      </c>
      <c r="F81" s="1" t="n">
        <f aca="false">B81-C81</f>
        <v>21</v>
      </c>
      <c r="G81" s="1" t="n">
        <f aca="false">ROUND(F81*train_time_min*E81/60,1)</f>
        <v>0.7</v>
      </c>
    </row>
    <row r="82" customFormat="false" ht="15" hidden="false" customHeight="false" outlineLevel="0" collapsed="false">
      <c r="A82" s="1" t="n">
        <v>11</v>
      </c>
      <c r="B82" s="1" t="n">
        <f aca="false">Darajalar!O16</f>
        <v>36</v>
      </c>
      <c r="C82" s="1" t="n">
        <f aca="false">ROUND(B82*0.3,0)</f>
        <v>11</v>
      </c>
      <c r="D82" s="1" t="n">
        <f aca="false">C82/B82</f>
        <v>0.305555555555556</v>
      </c>
      <c r="E82" s="1" t="n">
        <f aca="false">MAX(occupancy_min,(D82/occupancy_normal)^occupancy_exp)</f>
        <v>0.5</v>
      </c>
      <c r="F82" s="1" t="n">
        <f aca="false">B82-C82</f>
        <v>25</v>
      </c>
      <c r="G82" s="1" t="n">
        <f aca="false">ROUND(F82*train_time_min*E82/60,1)</f>
        <v>0.8</v>
      </c>
    </row>
    <row r="83" customFormat="false" ht="15" hidden="false" customHeight="false" outlineLevel="0" collapsed="false">
      <c r="A83" s="1" t="n">
        <v>12</v>
      </c>
      <c r="B83" s="1" t="n">
        <f aca="false">Darajalar!O17</f>
        <v>43</v>
      </c>
      <c r="C83" s="1" t="n">
        <f aca="false">ROUND(B83*0.3,0)</f>
        <v>13</v>
      </c>
      <c r="D83" s="1" t="n">
        <f aca="false">C83/B83</f>
        <v>0.302325581395349</v>
      </c>
      <c r="E83" s="1" t="n">
        <f aca="false">MAX(occupancy_min,(D83/occupancy_normal)^occupancy_exp)</f>
        <v>0.5</v>
      </c>
      <c r="F83" s="1" t="n">
        <f aca="false">B83-C83</f>
        <v>30</v>
      </c>
      <c r="G83" s="1" t="n">
        <f aca="false">ROUND(F83*train_time_min*E83/60,1)</f>
        <v>1</v>
      </c>
    </row>
    <row r="84" customFormat="false" ht="15" hidden="false" customHeight="false" outlineLevel="0" collapsed="false">
      <c r="A84" s="1" t="n">
        <v>13</v>
      </c>
      <c r="B84" s="1" t="n">
        <f aca="false">Darajalar!O18</f>
        <v>52</v>
      </c>
      <c r="C84" s="1" t="n">
        <f aca="false">ROUND(B84*0.3,0)</f>
        <v>16</v>
      </c>
      <c r="D84" s="1" t="n">
        <f aca="false">C84/B84</f>
        <v>0.307692307692308</v>
      </c>
      <c r="E84" s="1" t="n">
        <f aca="false">MAX(occupancy_min,(D84/occupancy_normal)^occupancy_exp)</f>
        <v>0.5</v>
      </c>
      <c r="F84" s="1" t="n">
        <f aca="false">B84-C84</f>
        <v>36</v>
      </c>
      <c r="G84" s="1" t="n">
        <f aca="false">ROUND(F84*train_time_min*E84/60,1)</f>
        <v>1.2</v>
      </c>
    </row>
    <row r="85" customFormat="false" ht="15" hidden="false" customHeight="false" outlineLevel="0" collapsed="false">
      <c r="A85" s="1" t="n">
        <v>14</v>
      </c>
      <c r="B85" s="1" t="n">
        <f aca="false">Darajalar!O19</f>
        <v>62</v>
      </c>
      <c r="C85" s="1" t="n">
        <f aca="false">ROUND(B85*0.3,0)</f>
        <v>19</v>
      </c>
      <c r="D85" s="1" t="n">
        <f aca="false">C85/B85</f>
        <v>0.306451612903226</v>
      </c>
      <c r="E85" s="1" t="n">
        <f aca="false">MAX(occupancy_min,(D85/occupancy_normal)^occupancy_exp)</f>
        <v>0.5</v>
      </c>
      <c r="F85" s="1" t="n">
        <f aca="false">B85-C85</f>
        <v>43</v>
      </c>
      <c r="G85" s="1" t="n">
        <f aca="false">ROUND(F85*train_time_min*E85/60,1)</f>
        <v>1.4</v>
      </c>
    </row>
    <row r="86" customFormat="false" ht="15" hidden="false" customHeight="false" outlineLevel="0" collapsed="false">
      <c r="A86" s="1" t="n">
        <v>15</v>
      </c>
      <c r="B86" s="1" t="n">
        <f aca="false">Darajalar!O20</f>
        <v>74</v>
      </c>
      <c r="C86" s="1" t="n">
        <f aca="false">ROUND(B86*0.3,0)</f>
        <v>22</v>
      </c>
      <c r="D86" s="1" t="n">
        <f aca="false">C86/B86</f>
        <v>0.297297297297297</v>
      </c>
      <c r="E86" s="1" t="n">
        <f aca="false">MAX(occupancy_min,(D86/occupancy_normal)^occupancy_exp)</f>
        <v>0.5</v>
      </c>
      <c r="F86" s="1" t="n">
        <f aca="false">B86-C86</f>
        <v>52</v>
      </c>
      <c r="G86" s="1" t="n">
        <f aca="false">ROUND(F86*train_time_min*E86/60,1)</f>
        <v>1.7</v>
      </c>
    </row>
    <row r="87" customFormat="false" ht="15" hidden="false" customHeight="false" outlineLevel="0" collapsed="false">
      <c r="A87" s="1" t="n">
        <v>16</v>
      </c>
      <c r="B87" s="1" t="n">
        <f aca="false">Darajalar!O21</f>
        <v>89</v>
      </c>
      <c r="C87" s="1" t="n">
        <f aca="false">ROUND(B87*0.3,0)</f>
        <v>27</v>
      </c>
      <c r="D87" s="1" t="n">
        <f aca="false">C87/B87</f>
        <v>0.303370786516854</v>
      </c>
      <c r="E87" s="1" t="n">
        <f aca="false">MAX(occupancy_min,(D87/occupancy_normal)^occupancy_exp)</f>
        <v>0.5</v>
      </c>
      <c r="F87" s="1" t="n">
        <f aca="false">B87-C87</f>
        <v>62</v>
      </c>
      <c r="G87" s="1" t="n">
        <f aca="false">ROUND(F87*train_time_min*E87/60,1)</f>
        <v>2.1</v>
      </c>
    </row>
    <row r="88" customFormat="false" ht="15" hidden="false" customHeight="false" outlineLevel="0" collapsed="false">
      <c r="A88" s="1" t="n">
        <v>17</v>
      </c>
      <c r="B88" s="1" t="n">
        <f aca="false">Darajalar!O22</f>
        <v>107</v>
      </c>
      <c r="C88" s="1" t="n">
        <f aca="false">ROUND(B88*0.3,0)</f>
        <v>32</v>
      </c>
      <c r="D88" s="1" t="n">
        <f aca="false">C88/B88</f>
        <v>0.299065420560748</v>
      </c>
      <c r="E88" s="1" t="n">
        <f aca="false">MAX(occupancy_min,(D88/occupancy_normal)^occupancy_exp)</f>
        <v>0.5</v>
      </c>
      <c r="F88" s="1" t="n">
        <f aca="false">B88-C88</f>
        <v>75</v>
      </c>
      <c r="G88" s="1" t="n">
        <f aca="false">ROUND(F88*train_time_min*E88/60,1)</f>
        <v>2.5</v>
      </c>
    </row>
    <row r="89" customFormat="false" ht="15" hidden="false" customHeight="false" outlineLevel="0" collapsed="false">
      <c r="A89" s="1" t="n">
        <v>18</v>
      </c>
      <c r="B89" s="1" t="n">
        <f aca="false">Darajalar!O23</f>
        <v>128</v>
      </c>
      <c r="C89" s="1" t="n">
        <f aca="false">ROUND(B89*0.3,0)</f>
        <v>38</v>
      </c>
      <c r="D89" s="1" t="n">
        <f aca="false">C89/B89</f>
        <v>0.296875</v>
      </c>
      <c r="E89" s="1" t="n">
        <f aca="false">MAX(occupancy_min,(D89/occupancy_normal)^occupancy_exp)</f>
        <v>0.5</v>
      </c>
      <c r="F89" s="1" t="n">
        <f aca="false">B89-C89</f>
        <v>90</v>
      </c>
      <c r="G89" s="1" t="n">
        <f aca="false">ROUND(F89*train_time_min*E89/60,1)</f>
        <v>3</v>
      </c>
    </row>
    <row r="90" customFormat="false" ht="15" hidden="false" customHeight="false" outlineLevel="0" collapsed="false">
      <c r="A90" s="1" t="n">
        <v>19</v>
      </c>
      <c r="B90" s="1" t="n">
        <f aca="false">Darajalar!O24</f>
        <v>154</v>
      </c>
      <c r="C90" s="1" t="n">
        <f aca="false">ROUND(B90*0.3,0)</f>
        <v>46</v>
      </c>
      <c r="D90" s="1" t="n">
        <f aca="false">C90/B90</f>
        <v>0.298701298701299</v>
      </c>
      <c r="E90" s="1" t="n">
        <f aca="false">MAX(occupancy_min,(D90/occupancy_normal)^occupancy_exp)</f>
        <v>0.5</v>
      </c>
      <c r="F90" s="1" t="n">
        <f aca="false">B90-C90</f>
        <v>108</v>
      </c>
      <c r="G90" s="1" t="n">
        <f aca="false">ROUND(F90*train_time_min*E90/60,1)</f>
        <v>3.6</v>
      </c>
    </row>
    <row r="91" customFormat="false" ht="15" hidden="false" customHeight="false" outlineLevel="0" collapsed="false">
      <c r="A91" s="1" t="n">
        <v>20</v>
      </c>
      <c r="B91" s="1" t="n">
        <f aca="false">Darajalar!O25</f>
        <v>185</v>
      </c>
      <c r="C91" s="1" t="n">
        <f aca="false">ROUND(B91*0.3,0)</f>
        <v>56</v>
      </c>
      <c r="D91" s="1" t="n">
        <f aca="false">C91/B91</f>
        <v>0.302702702702703</v>
      </c>
      <c r="E91" s="1" t="n">
        <f aca="false">MAX(occupancy_min,(D91/occupancy_normal)^occupancy_exp)</f>
        <v>0.5</v>
      </c>
      <c r="F91" s="1" t="n">
        <f aca="false">B91-C91</f>
        <v>129</v>
      </c>
      <c r="G91" s="1" t="n">
        <f aca="false">ROUND(F91*train_time_min*E91/60,1)</f>
        <v>4.3</v>
      </c>
    </row>
    <row r="92" customFormat="false" ht="15" hidden="false" customHeight="false" outlineLevel="0" collapsed="false">
      <c r="A92" s="1" t="n">
        <v>21</v>
      </c>
      <c r="B92" s="1" t="n">
        <f aca="false">Darajalar!O26</f>
        <v>222</v>
      </c>
      <c r="C92" s="1" t="n">
        <f aca="false">ROUND(B92*0.3,0)</f>
        <v>67</v>
      </c>
      <c r="D92" s="1" t="n">
        <f aca="false">C92/B92</f>
        <v>0.301801801801802</v>
      </c>
      <c r="E92" s="1" t="n">
        <f aca="false">MAX(occupancy_min,(D92/occupancy_normal)^occupancy_exp)</f>
        <v>0.5</v>
      </c>
      <c r="F92" s="1" t="n">
        <f aca="false">B92-C92</f>
        <v>155</v>
      </c>
      <c r="G92" s="1" t="n">
        <f aca="false">ROUND(F92*train_time_min*E92/60,1)</f>
        <v>5.2</v>
      </c>
    </row>
    <row r="93" customFormat="false" ht="15" hidden="false" customHeight="false" outlineLevel="0" collapsed="false">
      <c r="A93" s="1" t="n">
        <v>22</v>
      </c>
      <c r="B93" s="1" t="n">
        <f aca="false">Darajalar!O27</f>
        <v>266</v>
      </c>
      <c r="C93" s="1" t="n">
        <f aca="false">ROUND(B93*0.3,0)</f>
        <v>80</v>
      </c>
      <c r="D93" s="1" t="n">
        <f aca="false">C93/B93</f>
        <v>0.300751879699248</v>
      </c>
      <c r="E93" s="1" t="n">
        <f aca="false">MAX(occupancy_min,(D93/occupancy_normal)^occupancy_exp)</f>
        <v>0.5</v>
      </c>
      <c r="F93" s="1" t="n">
        <f aca="false">B93-C93</f>
        <v>186</v>
      </c>
      <c r="G93" s="1" t="n">
        <f aca="false">ROUND(F93*train_time_min*E93/60,1)</f>
        <v>6.2</v>
      </c>
    </row>
    <row r="94" customFormat="false" ht="15" hidden="false" customHeight="false" outlineLevel="0" collapsed="false">
      <c r="A94" s="1" t="n">
        <v>23</v>
      </c>
      <c r="B94" s="1" t="n">
        <f aca="false">Darajalar!O28</f>
        <v>319</v>
      </c>
      <c r="C94" s="1" t="n">
        <f aca="false">ROUND(B94*0.3,0)</f>
        <v>96</v>
      </c>
      <c r="D94" s="1" t="n">
        <f aca="false">C94/B94</f>
        <v>0.300940438871473</v>
      </c>
      <c r="E94" s="1" t="n">
        <f aca="false">MAX(occupancy_min,(D94/occupancy_normal)^occupancy_exp)</f>
        <v>0.5</v>
      </c>
      <c r="F94" s="1" t="n">
        <f aca="false">B94-C94</f>
        <v>223</v>
      </c>
      <c r="G94" s="1" t="n">
        <f aca="false">ROUND(F94*train_time_min*E94/60,1)</f>
        <v>7.4</v>
      </c>
    </row>
    <row r="95" customFormat="false" ht="15" hidden="false" customHeight="false" outlineLevel="0" collapsed="false">
      <c r="A95" s="1" t="n">
        <v>24</v>
      </c>
      <c r="B95" s="1" t="n">
        <f aca="false">Darajalar!O29</f>
        <v>383</v>
      </c>
      <c r="C95" s="1" t="n">
        <f aca="false">ROUND(B95*0.3,0)</f>
        <v>115</v>
      </c>
      <c r="D95" s="1" t="n">
        <f aca="false">C95/B95</f>
        <v>0.300261096605744</v>
      </c>
      <c r="E95" s="1" t="n">
        <f aca="false">MAX(occupancy_min,(D95/occupancy_normal)^occupancy_exp)</f>
        <v>0.5</v>
      </c>
      <c r="F95" s="1" t="n">
        <f aca="false">B95-C95</f>
        <v>268</v>
      </c>
      <c r="G95" s="1" t="n">
        <f aca="false">ROUND(F95*train_time_min*E95/60,1)</f>
        <v>8.9</v>
      </c>
    </row>
    <row r="96" customFormat="false" ht="15" hidden="false" customHeight="false" outlineLevel="0" collapsed="false">
      <c r="A96" s="1" t="n">
        <v>25</v>
      </c>
      <c r="B96" s="1" t="n">
        <f aca="false">Darajalar!O30</f>
        <v>460</v>
      </c>
      <c r="C96" s="1" t="n">
        <f aca="false">ROUND(B96*0.3,0)</f>
        <v>138</v>
      </c>
      <c r="D96" s="1" t="n">
        <f aca="false">C96/B96</f>
        <v>0.3</v>
      </c>
      <c r="E96" s="1" t="n">
        <f aca="false">MAX(occupancy_min,(D96/occupancy_normal)^occupancy_exp)</f>
        <v>0.5</v>
      </c>
      <c r="F96" s="1" t="n">
        <f aca="false">B96-C96</f>
        <v>322</v>
      </c>
      <c r="G96" s="1" t="n">
        <f aca="false">ROUND(F96*train_time_min*E96/60,1)</f>
        <v>10.7</v>
      </c>
    </row>
    <row r="97" customFormat="false" ht="15" hidden="false" customHeight="false" outlineLevel="0" collapsed="false">
      <c r="A97" s="1" t="s">
        <v>338</v>
      </c>
    </row>
    <row r="98" customFormat="false" ht="15" hidden="false" customHeight="false" outlineLevel="0" collapsed="false">
      <c r="A98" s="1" t="s">
        <v>877</v>
      </c>
      <c r="B98" s="1" t="s">
        <v>878</v>
      </c>
    </row>
    <row r="99" customFormat="false" ht="15" hidden="false" customHeight="false" outlineLevel="0" collapsed="false">
      <c r="A99" s="1" t="s">
        <v>879</v>
      </c>
      <c r="B99" s="1" t="s">
        <v>880</v>
      </c>
    </row>
    <row r="100" customFormat="false" ht="15" hidden="false" customHeight="false" outlineLevel="0" collapsed="false">
      <c r="A100" s="1" t="s">
        <v>881</v>
      </c>
      <c r="B100" s="1" t="s">
        <v>882</v>
      </c>
    </row>
    <row r="101" customFormat="false" ht="15" hidden="false" customHeight="false" outlineLevel="0" collapsed="false">
      <c r="A101" s="1" t="s">
        <v>883</v>
      </c>
      <c r="B101" s="1" t="s">
        <v>884</v>
      </c>
    </row>
    <row r="102" customFormat="false" ht="15" hidden="false" customHeight="false" outlineLevel="0" collapsed="false">
      <c r="A102" s="1" t="s">
        <v>885</v>
      </c>
      <c r="B102" s="1" t="s">
        <v>886</v>
      </c>
    </row>
    <row r="103" customFormat="false" ht="15" hidden="false" customHeight="false" outlineLevel="0" collapsed="false">
      <c r="A103" s="1" t="s">
        <v>887</v>
      </c>
      <c r="B103" s="1" t="s">
        <v>888</v>
      </c>
    </row>
    <row r="104" customFormat="false" ht="15" hidden="false" customHeight="false" outlineLevel="0" collapsed="false">
      <c r="A104" s="1" t="s">
        <v>889</v>
      </c>
      <c r="B104" s="1" t="s">
        <v>890</v>
      </c>
    </row>
    <row r="105" customFormat="false" ht="15" hidden="false" customHeight="false" outlineLevel="0" collapsed="false">
      <c r="A105" s="1" t="s">
        <v>891</v>
      </c>
      <c r="B105" s="1" t="s">
        <v>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3" customFormat="false" ht="15" hidden="false" customHeight="false" outlineLevel="0" collapsed="false">
      <c r="A3" s="1" t="s">
        <v>893</v>
      </c>
    </row>
    <row r="4" customFormat="false" ht="15" hidden="false" customHeight="false" outlineLevel="0" collapsed="false">
      <c r="A4" s="1" t="s">
        <v>894</v>
      </c>
    </row>
    <row r="5" customFormat="false" ht="15" hidden="false" customHeight="false" outlineLevel="0" collapsed="false">
      <c r="A5" s="1" t="s">
        <v>895</v>
      </c>
    </row>
    <row r="6" customFormat="false" ht="15" hidden="false" customHeight="false" outlineLevel="0" collapsed="false">
      <c r="A6" s="1" t="s">
        <v>712</v>
      </c>
      <c r="B6" s="1" t="s">
        <v>896</v>
      </c>
      <c r="C6" s="1" t="s">
        <v>897</v>
      </c>
      <c r="D6" s="1" t="s">
        <v>560</v>
      </c>
    </row>
    <row r="7" customFormat="false" ht="15" hidden="false" customHeight="false" outlineLevel="0" collapsed="false">
      <c r="A7" s="1" t="s">
        <v>898</v>
      </c>
      <c r="B7" s="1" t="s">
        <v>899</v>
      </c>
      <c r="C7" s="1" t="s">
        <v>899</v>
      </c>
      <c r="D7" s="1" t="s">
        <v>900</v>
      </c>
    </row>
    <row r="8" customFormat="false" ht="15" hidden="false" customHeight="false" outlineLevel="0" collapsed="false">
      <c r="A8" s="1" t="s">
        <v>901</v>
      </c>
      <c r="B8" s="1" t="s">
        <v>899</v>
      </c>
      <c r="C8" s="1" t="s">
        <v>899</v>
      </c>
      <c r="D8" s="1" t="s">
        <v>902</v>
      </c>
    </row>
    <row r="9" customFormat="false" ht="15" hidden="false" customHeight="false" outlineLevel="0" collapsed="false">
      <c r="A9" s="1" t="s">
        <v>12</v>
      </c>
      <c r="B9" s="1" t="s">
        <v>903</v>
      </c>
      <c r="C9" s="1" t="s">
        <v>904</v>
      </c>
      <c r="D9" s="1" t="s">
        <v>905</v>
      </c>
    </row>
    <row r="10" customFormat="false" ht="15" hidden="false" customHeight="false" outlineLevel="0" collapsed="false">
      <c r="A10" s="1" t="s">
        <v>430</v>
      </c>
      <c r="B10" s="1" t="s">
        <v>331</v>
      </c>
      <c r="C10" s="1" t="s">
        <v>906</v>
      </c>
      <c r="D10" s="1" t="s">
        <v>907</v>
      </c>
    </row>
    <row r="11" customFormat="false" ht="15" hidden="false" customHeight="false" outlineLevel="0" collapsed="false">
      <c r="A11" s="1" t="s">
        <v>908</v>
      </c>
      <c r="B11" s="1" t="s">
        <v>331</v>
      </c>
      <c r="C11" s="1" t="s">
        <v>909</v>
      </c>
      <c r="D11" s="1" t="s">
        <v>910</v>
      </c>
    </row>
    <row r="12" customFormat="false" ht="15" hidden="false" customHeight="false" outlineLevel="0" collapsed="false">
      <c r="A12" s="1" t="s">
        <v>911</v>
      </c>
      <c r="B12" s="1" t="s">
        <v>331</v>
      </c>
      <c r="C12" s="1" t="s">
        <v>912</v>
      </c>
      <c r="D12" s="1" t="s">
        <v>913</v>
      </c>
    </row>
    <row r="13" customFormat="false" ht="15" hidden="false" customHeight="false" outlineLevel="0" collapsed="false">
      <c r="A13" s="1" t="s">
        <v>914</v>
      </c>
      <c r="B13" s="1" t="s">
        <v>899</v>
      </c>
      <c r="C13" s="1" t="s">
        <v>899</v>
      </c>
      <c r="D13" s="1" t="s">
        <v>915</v>
      </c>
    </row>
    <row r="14" customFormat="false" ht="15" hidden="false" customHeight="false" outlineLevel="0" collapsed="false">
      <c r="A14" s="1" t="s">
        <v>916</v>
      </c>
      <c r="B14" s="1" t="s">
        <v>899</v>
      </c>
      <c r="C14" s="1" t="s">
        <v>899</v>
      </c>
      <c r="D14" s="1" t="s">
        <v>917</v>
      </c>
    </row>
    <row r="15" customFormat="false" ht="15" hidden="false" customHeight="false" outlineLevel="0" collapsed="false">
      <c r="A15" s="1" t="s">
        <v>918</v>
      </c>
    </row>
    <row r="16" customFormat="false" ht="15" hidden="false" customHeight="false" outlineLevel="0" collapsed="false">
      <c r="A16" s="1" t="s">
        <v>901</v>
      </c>
      <c r="B16" s="1" t="s">
        <v>919</v>
      </c>
      <c r="C16" s="1" t="s">
        <v>920</v>
      </c>
      <c r="D16" s="1" t="s">
        <v>921</v>
      </c>
      <c r="E16" s="1" t="s">
        <v>922</v>
      </c>
    </row>
    <row r="17" customFormat="false" ht="15" hidden="false" customHeight="false" outlineLevel="0" collapsed="false">
      <c r="A17" s="3" t="n">
        <v>5</v>
      </c>
      <c r="B17" s="1" t="n">
        <f aca="false">A17/march_speed*60</f>
        <v>15</v>
      </c>
      <c r="C17" s="1" t="n">
        <f aca="false">A17/scout_speed*60</f>
        <v>5</v>
      </c>
      <c r="D17" s="1" t="n">
        <f aca="false">2*B17</f>
        <v>30</v>
      </c>
      <c r="E17" s="1" t="s">
        <v>923</v>
      </c>
    </row>
    <row r="18" customFormat="false" ht="15" hidden="false" customHeight="false" outlineLevel="0" collapsed="false">
      <c r="A18" s="3" t="n">
        <v>15</v>
      </c>
      <c r="B18" s="1" t="n">
        <f aca="false">A18/march_speed*60</f>
        <v>45</v>
      </c>
      <c r="C18" s="1" t="n">
        <f aca="false">A18/scout_speed*60</f>
        <v>15</v>
      </c>
      <c r="D18" s="1" t="n">
        <f aca="false">2*B18</f>
        <v>90</v>
      </c>
      <c r="E18" s="1" t="s">
        <v>923</v>
      </c>
    </row>
    <row r="19" customFormat="false" ht="15" hidden="false" customHeight="false" outlineLevel="0" collapsed="false">
      <c r="A19" s="3" t="n">
        <v>30</v>
      </c>
      <c r="B19" s="1" t="n">
        <f aca="false">A19/march_speed*60</f>
        <v>90</v>
      </c>
      <c r="C19" s="1" t="n">
        <f aca="false">A19/scout_speed*60</f>
        <v>30</v>
      </c>
      <c r="D19" s="1" t="n">
        <f aca="false">2*B19</f>
        <v>180</v>
      </c>
      <c r="E19" s="1" t="s">
        <v>924</v>
      </c>
    </row>
    <row r="20" customFormat="false" ht="15" hidden="false" customHeight="false" outlineLevel="0" collapsed="false">
      <c r="A20" s="3" t="n">
        <v>60</v>
      </c>
      <c r="B20" s="1" t="n">
        <f aca="false">A20/march_speed*60</f>
        <v>180</v>
      </c>
      <c r="C20" s="1" t="n">
        <f aca="false">A20/scout_speed*60</f>
        <v>60</v>
      </c>
      <c r="D20" s="1" t="n">
        <f aca="false">2*B20</f>
        <v>360</v>
      </c>
      <c r="E20" s="1" t="s">
        <v>924</v>
      </c>
    </row>
    <row r="21" customFormat="false" ht="15" hidden="false" customHeight="false" outlineLevel="0" collapsed="false">
      <c r="A21" s="3" t="n">
        <v>100</v>
      </c>
      <c r="B21" s="1" t="n">
        <f aca="false">A21/march_speed*60</f>
        <v>300</v>
      </c>
      <c r="C21" s="1" t="n">
        <f aca="false">A21/scout_speed*60</f>
        <v>100</v>
      </c>
      <c r="D21" s="1" t="n">
        <f aca="false">2*B21</f>
        <v>600</v>
      </c>
      <c r="E21" s="1" t="s">
        <v>925</v>
      </c>
    </row>
    <row r="22" customFormat="false" ht="15" hidden="false" customHeight="false" outlineLevel="0" collapsed="false">
      <c r="A22" s="1" t="s">
        <v>926</v>
      </c>
    </row>
    <row r="23" customFormat="false" ht="15" hidden="false" customHeight="false" outlineLevel="0" collapsed="false">
      <c r="A23" s="1" t="s">
        <v>927</v>
      </c>
    </row>
    <row r="24" customFormat="false" ht="15" hidden="false" customHeight="false" outlineLevel="0" collapsed="false">
      <c r="A24" s="1" t="s">
        <v>928</v>
      </c>
    </row>
    <row r="25" customFormat="false" ht="15" hidden="false" customHeight="false" outlineLevel="0" collapsed="false">
      <c r="A25" s="1" t="s">
        <v>929</v>
      </c>
      <c r="B25" s="1" t="s">
        <v>321</v>
      </c>
      <c r="C25" s="1" t="s">
        <v>596</v>
      </c>
      <c r="D25" s="1" t="s">
        <v>930</v>
      </c>
      <c r="E25" s="1" t="s">
        <v>931</v>
      </c>
      <c r="F25" s="1" t="s">
        <v>932</v>
      </c>
    </row>
    <row r="26" customFormat="false" ht="15" hidden="false" customHeight="false" outlineLevel="0" collapsed="false">
      <c r="A26" s="3" t="n">
        <v>0.5</v>
      </c>
      <c r="B26" s="1" t="str">
        <f aca="false">IF(A26&gt;=battle_full_win_r,"Toʻliq gʻalaba",IF(A26&gt;=battle_win_r,"Qisman gʻalaba",IF(A26&gt;battle_loss_r,"Durang","Magʻlubiyat")))</f>
        <v>Magʻlubiyat</v>
      </c>
      <c r="C26" s="1" t="n">
        <f aca="false">MIN(battle_max_loss,battle_base_loss/A26)</f>
        <v>0.8</v>
      </c>
      <c r="D26" s="1" t="n">
        <f aca="false">MIN(battle_max_loss,battle_base_loss*A26)</f>
        <v>0.2</v>
      </c>
      <c r="E26" s="1" t="str">
        <f aca="false">TEXT(C26*att_death_share,"0%")&amp;" / "&amp;TEXT(C26*(1-att_death_share),"0%")</f>
        <v>32% / 48%</v>
      </c>
      <c r="F26" s="1" t="str">
        <f aca="false">TEXT(D26*def_death_share,"0%")&amp;" / "&amp;TEXT(D26*(1-def_death_share),"0%")</f>
        <v>5% / 15%</v>
      </c>
    </row>
    <row r="27" customFormat="false" ht="15" hidden="false" customHeight="false" outlineLevel="0" collapsed="false">
      <c r="A27" s="3" t="n">
        <v>0.75</v>
      </c>
      <c r="B27" s="1" t="str">
        <f aca="false">IF(A27&gt;=battle_full_win_r,"Toʻliq gʻalaba",IF(A27&gt;=battle_win_r,"Qisman gʻalaba",IF(A27&gt;battle_loss_r,"Durang","Magʻlubiyat")))</f>
        <v>Magʻlubiyat</v>
      </c>
      <c r="C27" s="1" t="n">
        <f aca="false">MIN(battle_max_loss,battle_base_loss/A27)</f>
        <v>0.533333333333333</v>
      </c>
      <c r="D27" s="1" t="n">
        <f aca="false">MIN(battle_max_loss,battle_base_loss*A27)</f>
        <v>0.3</v>
      </c>
      <c r="E27" s="1" t="str">
        <f aca="false">TEXT(C27*att_death_share,"0%")&amp;" / "&amp;TEXT(C27*(1-att_death_share),"0%")</f>
        <v>21% / 32%</v>
      </c>
      <c r="F27" s="1" t="str">
        <f aca="false">TEXT(D27*def_death_share,"0%")&amp;" / "&amp;TEXT(D27*(1-def_death_share),"0%")</f>
        <v>8% / 23%</v>
      </c>
    </row>
    <row r="28" customFormat="false" ht="15" hidden="false" customHeight="false" outlineLevel="0" collapsed="false">
      <c r="A28" s="3" t="n">
        <v>1</v>
      </c>
      <c r="B28" s="1" t="str">
        <f aca="false">IF(A28&gt;=battle_full_win_r,"Toʻliq gʻalaba",IF(A28&gt;=battle_win_r,"Qisman gʻalaba",IF(A28&gt;battle_loss_r,"Durang","Magʻlubiyat")))</f>
        <v>Durang</v>
      </c>
      <c r="C28" s="1" t="n">
        <f aca="false">MIN(battle_max_loss,battle_base_loss/A28)</f>
        <v>0.4</v>
      </c>
      <c r="D28" s="1" t="n">
        <f aca="false">MIN(battle_max_loss,battle_base_loss*A28)</f>
        <v>0.4</v>
      </c>
      <c r="E28" s="1" t="str">
        <f aca="false">TEXT(C28*att_death_share,"0%")&amp;" / "&amp;TEXT(C28*(1-att_death_share),"0%")</f>
        <v>16% / 24%</v>
      </c>
      <c r="F28" s="1" t="str">
        <f aca="false">TEXT(D28*def_death_share,"0%")&amp;" / "&amp;TEXT(D28*(1-def_death_share),"0%")</f>
        <v>10% / 30%</v>
      </c>
    </row>
    <row r="29" customFormat="false" ht="15" hidden="false" customHeight="false" outlineLevel="0" collapsed="false">
      <c r="A29" s="3" t="n">
        <v>1.25</v>
      </c>
      <c r="B29" s="1" t="str">
        <f aca="false">IF(A29&gt;=battle_full_win_r,"Toʻliq gʻalaba",IF(A29&gt;=battle_win_r,"Qisman gʻalaba",IF(A29&gt;battle_loss_r,"Durang","Magʻlubiyat")))</f>
        <v>Qisman gʻalaba</v>
      </c>
      <c r="C29" s="1" t="n">
        <f aca="false">MIN(battle_max_loss,battle_base_loss/A29)</f>
        <v>0.32</v>
      </c>
      <c r="D29" s="1" t="n">
        <f aca="false">MIN(battle_max_loss,battle_base_loss*A29)</f>
        <v>0.5</v>
      </c>
      <c r="E29" s="1" t="str">
        <f aca="false">TEXT(C29*att_death_share,"0%")&amp;" / "&amp;TEXT(C29*(1-att_death_share),"0%")</f>
        <v>13% / 19%</v>
      </c>
      <c r="F29" s="1" t="str">
        <f aca="false">TEXT(D29*def_death_share,"0%")&amp;" / "&amp;TEXT(D29*(1-def_death_share),"0%")</f>
        <v>13% / 38%</v>
      </c>
    </row>
    <row r="30" customFormat="false" ht="15" hidden="false" customHeight="false" outlineLevel="0" collapsed="false">
      <c r="A30" s="3" t="n">
        <v>1.5</v>
      </c>
      <c r="B30" s="1" t="str">
        <f aca="false">IF(A30&gt;=battle_full_win_r,"Toʻliq gʻalaba",IF(A30&gt;=battle_win_r,"Qisman gʻalaba",IF(A30&gt;battle_loss_r,"Durang","Magʻlubiyat")))</f>
        <v>Toʻliq gʻalaba</v>
      </c>
      <c r="C30" s="1" t="n">
        <f aca="false">MIN(battle_max_loss,battle_base_loss/A30)</f>
        <v>0.266666666666667</v>
      </c>
      <c r="D30" s="1" t="n">
        <f aca="false">MIN(battle_max_loss,battle_base_loss*A30)</f>
        <v>0.6</v>
      </c>
      <c r="E30" s="1" t="str">
        <f aca="false">TEXT(C30*att_death_share,"0%")&amp;" / "&amp;TEXT(C30*(1-att_death_share),"0%")</f>
        <v>11% / 16%</v>
      </c>
      <c r="F30" s="1" t="str">
        <f aca="false">TEXT(D30*def_death_share,"0%")&amp;" / "&amp;TEXT(D30*(1-def_death_share),"0%")</f>
        <v>15% / 45%</v>
      </c>
    </row>
    <row r="31" customFormat="false" ht="15" hidden="false" customHeight="false" outlineLevel="0" collapsed="false">
      <c r="A31" s="3" t="n">
        <v>2</v>
      </c>
      <c r="B31" s="1" t="str">
        <f aca="false">IF(A31&gt;=battle_full_win_r,"Toʻliq gʻalaba",IF(A31&gt;=battle_win_r,"Qisman gʻalaba",IF(A31&gt;battle_loss_r,"Durang","Magʻlubiyat")))</f>
        <v>Toʻliq gʻalaba</v>
      </c>
      <c r="C31" s="1" t="n">
        <f aca="false">MIN(battle_max_loss,battle_base_loss/A31)</f>
        <v>0.2</v>
      </c>
      <c r="D31" s="1" t="n">
        <f aca="false">MIN(battle_max_loss,battle_base_loss*A31)</f>
        <v>0.8</v>
      </c>
      <c r="E31" s="1" t="str">
        <f aca="false">TEXT(C31*att_death_share,"0%")&amp;" / "&amp;TEXT(C31*(1-att_death_share),"0%")</f>
        <v>8% / 12%</v>
      </c>
      <c r="F31" s="1" t="str">
        <f aca="false">TEXT(D31*def_death_share,"0%")&amp;" / "&amp;TEXT(D31*(1-def_death_share),"0%")</f>
        <v>20% / 60%</v>
      </c>
    </row>
    <row r="32" customFormat="false" ht="15" hidden="false" customHeight="false" outlineLevel="0" collapsed="false">
      <c r="A32" s="3" t="n">
        <v>3</v>
      </c>
      <c r="B32" s="1" t="str">
        <f aca="false">IF(A32&gt;=battle_full_win_r,"Toʻliq gʻalaba",IF(A32&gt;=battle_win_r,"Qisman gʻalaba",IF(A32&gt;battle_loss_r,"Durang","Magʻlubiyat")))</f>
        <v>Toʻliq gʻalaba</v>
      </c>
      <c r="C32" s="1" t="n">
        <f aca="false">MIN(battle_max_loss,battle_base_loss/A32)</f>
        <v>0.133333333333333</v>
      </c>
      <c r="D32" s="1" t="n">
        <f aca="false">MIN(battle_max_loss,battle_base_loss*A32)</f>
        <v>0.9</v>
      </c>
      <c r="E32" s="1" t="str">
        <f aca="false">TEXT(C32*att_death_share,"0%")&amp;" / "&amp;TEXT(C32*(1-att_death_share),"0%")</f>
        <v>5% / 8%</v>
      </c>
      <c r="F32" s="1" t="str">
        <f aca="false">TEXT(D32*def_death_share,"0%")&amp;" / "&amp;TEXT(D32*(1-def_death_share),"0%")</f>
        <v>23% / 68%</v>
      </c>
    </row>
    <row r="33" customFormat="false" ht="15" hidden="false" customHeight="false" outlineLevel="0" collapsed="false">
      <c r="A33" s="1" t="s">
        <v>933</v>
      </c>
      <c r="B33" s="1"/>
      <c r="C33" s="1"/>
      <c r="D33" s="1" t="s">
        <v>934</v>
      </c>
    </row>
    <row r="34" customFormat="false" ht="15" hidden="false" customHeight="false" outlineLevel="0" collapsed="false">
      <c r="A34" s="1" t="s">
        <v>935</v>
      </c>
      <c r="B34" s="1" t="s">
        <v>936</v>
      </c>
      <c r="C34" s="1"/>
      <c r="D34" s="1" t="s">
        <v>937</v>
      </c>
      <c r="E34" s="1" t="s">
        <v>938</v>
      </c>
    </row>
    <row r="35" customFormat="false" ht="15" hidden="false" customHeight="false" outlineLevel="0" collapsed="false">
      <c r="A35" s="1" t="s">
        <v>939</v>
      </c>
      <c r="B35" s="1" t="s">
        <v>940</v>
      </c>
      <c r="C35" s="1"/>
      <c r="D35" s="1" t="s">
        <v>941</v>
      </c>
      <c r="E35" s="1" t="s">
        <v>942</v>
      </c>
    </row>
    <row r="36" customFormat="false" ht="15" hidden="false" customHeight="false" outlineLevel="0" collapsed="false">
      <c r="A36" s="1" t="s">
        <v>943</v>
      </c>
      <c r="B36" s="1" t="s">
        <v>944</v>
      </c>
      <c r="C36" s="1"/>
      <c r="D36" s="1" t="s">
        <v>945</v>
      </c>
      <c r="E36" s="1" t="s">
        <v>946</v>
      </c>
    </row>
    <row r="37" customFormat="false" ht="15" hidden="false" customHeight="false" outlineLevel="0" collapsed="false">
      <c r="A37" s="1" t="s">
        <v>947</v>
      </c>
      <c r="B37" s="1" t="s">
        <v>948</v>
      </c>
      <c r="C37" s="1"/>
      <c r="D37" s="1" t="s">
        <v>949</v>
      </c>
      <c r="E37" s="1" t="s">
        <v>950</v>
      </c>
    </row>
    <row r="38" customFormat="false" ht="15" hidden="false" customHeight="false" outlineLevel="0" collapsed="false">
      <c r="A38" s="1" t="s">
        <v>951</v>
      </c>
      <c r="B38" s="1" t="s">
        <v>952</v>
      </c>
      <c r="C38" s="1"/>
      <c r="D38" s="1" t="s">
        <v>953</v>
      </c>
      <c r="E38" s="1" t="s">
        <v>954</v>
      </c>
    </row>
    <row r="39" customFormat="false" ht="15" hidden="false" customHeight="false" outlineLevel="0" collapsed="false">
      <c r="A39" s="1" t="s">
        <v>955</v>
      </c>
      <c r="B39" s="1" t="s">
        <v>956</v>
      </c>
      <c r="C39" s="1"/>
      <c r="D39" s="1" t="s">
        <v>957</v>
      </c>
      <c r="E39" s="1" t="s">
        <v>958</v>
      </c>
    </row>
    <row r="40" customFormat="false" ht="15" hidden="false" customHeight="false" outlineLevel="0" collapsed="false">
      <c r="A40" s="1" t="s">
        <v>959</v>
      </c>
      <c r="B40" s="1" t="s">
        <v>960</v>
      </c>
      <c r="C40" s="1"/>
      <c r="D40" s="1" t="s">
        <v>961</v>
      </c>
      <c r="E40" s="1" t="s">
        <v>962</v>
      </c>
    </row>
    <row r="41" customFormat="false" ht="15" hidden="false" customHeight="false" outlineLevel="0" collapsed="false">
      <c r="A41" s="1"/>
      <c r="B41" s="1"/>
      <c r="C41" s="1"/>
      <c r="D41" s="1" t="s">
        <v>731</v>
      </c>
      <c r="E41" s="1" t="s">
        <v>963</v>
      </c>
    </row>
    <row r="42" customFormat="false" ht="15" hidden="false" customHeight="false" outlineLevel="0" collapsed="false">
      <c r="A42" s="1"/>
      <c r="B42" s="1"/>
      <c r="C42" s="1"/>
      <c r="D42" s="1" t="s">
        <v>558</v>
      </c>
      <c r="E42" s="1" t="s">
        <v>964</v>
      </c>
    </row>
    <row r="43" customFormat="false" ht="15" hidden="false" customHeight="false" outlineLevel="0" collapsed="false">
      <c r="A43" s="1" t="s">
        <v>965</v>
      </c>
      <c r="B43" s="1"/>
      <c r="C43" s="1"/>
      <c r="D43" s="1" t="s">
        <v>559</v>
      </c>
      <c r="E43" s="1" t="s">
        <v>966</v>
      </c>
    </row>
    <row r="44" customFormat="false" ht="15" hidden="false" customHeight="false" outlineLevel="0" collapsed="false">
      <c r="A44" s="1" t="s">
        <v>967</v>
      </c>
    </row>
    <row r="45" customFormat="false" ht="15" hidden="false" customHeight="false" outlineLevel="0" collapsed="false">
      <c r="A45" s="1" t="s">
        <v>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3" customFormat="false" ht="15" hidden="false" customHeight="false" outlineLevel="0" collapsed="false">
      <c r="A3" s="1" t="s">
        <v>969</v>
      </c>
    </row>
    <row r="4" customFormat="false" ht="15" hidden="false" customHeight="false" outlineLevel="0" collapsed="false">
      <c r="A4" s="1" t="s">
        <v>970</v>
      </c>
    </row>
    <row r="5" customFormat="false" ht="15" hidden="false" customHeight="false" outlineLevel="0" collapsed="false">
      <c r="A5" s="1" t="s">
        <v>971</v>
      </c>
    </row>
    <row r="6" customFormat="false" ht="15" hidden="false" customHeight="false" outlineLevel="0" collapsed="false">
      <c r="A6" s="1" t="s">
        <v>972</v>
      </c>
      <c r="B6" s="1" t="s">
        <v>973</v>
      </c>
      <c r="C6" s="1" t="s">
        <v>974</v>
      </c>
      <c r="D6" s="1" t="s">
        <v>975</v>
      </c>
      <c r="E6" s="1" t="s">
        <v>18</v>
      </c>
    </row>
    <row r="7" customFormat="false" ht="15" hidden="false" customHeight="false" outlineLevel="0" collapsed="false">
      <c r="A7" s="1" t="n">
        <v>1</v>
      </c>
      <c r="B7" s="1" t="n">
        <f aca="false">ROUND(clan_xp_base*clan_xp_growth^(A7-1),0)</f>
        <v>5000</v>
      </c>
      <c r="C7" s="3" t="n">
        <v>15</v>
      </c>
      <c r="D7" s="3" t="n">
        <v>0</v>
      </c>
      <c r="E7" s="1" t="s">
        <v>976</v>
      </c>
    </row>
    <row r="8" customFormat="false" ht="15" hidden="false" customHeight="false" outlineLevel="0" collapsed="false">
      <c r="A8" s="1" t="n">
        <v>5</v>
      </c>
      <c r="B8" s="1" t="n">
        <f aca="false">ROUND(clan_xp_base*clan_xp_growth^(A8-1),0)</f>
        <v>15180</v>
      </c>
      <c r="C8" s="3" t="n">
        <v>25</v>
      </c>
      <c r="D8" s="3" t="n">
        <v>0.03</v>
      </c>
      <c r="E8" s="1" t="s">
        <v>977</v>
      </c>
    </row>
    <row r="9" customFormat="false" ht="15" hidden="false" customHeight="false" outlineLevel="0" collapsed="false">
      <c r="A9" s="1" t="n">
        <v>10</v>
      </c>
      <c r="B9" s="1" t="n">
        <f aca="false">ROUND(clan_xp_base*clan_xp_growth^(A9-1),0)</f>
        <v>60832</v>
      </c>
      <c r="C9" s="3" t="n">
        <v>35</v>
      </c>
      <c r="D9" s="3" t="n">
        <v>0.06</v>
      </c>
      <c r="E9" s="1" t="s">
        <v>978</v>
      </c>
    </row>
    <row r="10" customFormat="false" ht="15" hidden="false" customHeight="false" outlineLevel="0" collapsed="false">
      <c r="A10" s="1" t="n">
        <v>15</v>
      </c>
      <c r="B10" s="1" t="n">
        <f aca="false">ROUND(clan_xp_base*clan_xp_growth^(A10-1),0)</f>
        <v>243784</v>
      </c>
      <c r="C10" s="3" t="n">
        <v>45</v>
      </c>
      <c r="D10" s="3" t="n">
        <v>0.09</v>
      </c>
      <c r="E10" s="1" t="s">
        <v>979</v>
      </c>
    </row>
    <row r="11" customFormat="false" ht="15" hidden="false" customHeight="false" outlineLevel="0" collapsed="false">
      <c r="A11" s="1" t="n">
        <v>20</v>
      </c>
      <c r="B11" s="1" t="n">
        <f aca="false">ROUND(clan_xp_base*clan_xp_growth^(A11-1),0)</f>
        <v>976955</v>
      </c>
      <c r="C11" s="3" t="n">
        <v>55</v>
      </c>
      <c r="D11" s="3" t="n">
        <v>0.12</v>
      </c>
      <c r="E11" s="1" t="s">
        <v>980</v>
      </c>
    </row>
    <row r="12" customFormat="false" ht="15" hidden="false" customHeight="false" outlineLevel="0" collapsed="false">
      <c r="A12" s="1" t="n">
        <v>25</v>
      </c>
      <c r="B12" s="1" t="n">
        <f aca="false">ROUND(clan_xp_base*clan_xp_growth^(A12-1),0)</f>
        <v>3915113</v>
      </c>
      <c r="C12" s="3" t="n">
        <v>70</v>
      </c>
      <c r="D12" s="3" t="n">
        <v>0.15</v>
      </c>
      <c r="E12" s="1" t="s">
        <v>981</v>
      </c>
    </row>
    <row r="13" customFormat="false" ht="15" hidden="false" customHeight="false" outlineLevel="0" collapsed="false">
      <c r="A13" s="1" t="s">
        <v>982</v>
      </c>
    </row>
    <row r="14" customFormat="false" ht="15" hidden="false" customHeight="false" outlineLevel="0" collapsed="false">
      <c r="A14" s="1" t="s">
        <v>983</v>
      </c>
      <c r="B14" s="1"/>
      <c r="C14" s="1"/>
      <c r="D14" s="1" t="s">
        <v>984</v>
      </c>
    </row>
    <row r="15" customFormat="false" ht="15" hidden="false" customHeight="false" outlineLevel="0" collapsed="false">
      <c r="A15" s="1" t="s">
        <v>985</v>
      </c>
      <c r="B15" s="1" t="s">
        <v>986</v>
      </c>
      <c r="C15" s="1"/>
      <c r="D15" s="1" t="s">
        <v>987</v>
      </c>
      <c r="E15" s="1" t="s">
        <v>988</v>
      </c>
    </row>
    <row r="16" customFormat="false" ht="15" hidden="false" customHeight="false" outlineLevel="0" collapsed="false">
      <c r="A16" s="1" t="s">
        <v>989</v>
      </c>
      <c r="B16" s="1" t="s">
        <v>990</v>
      </c>
      <c r="C16" s="1"/>
      <c r="D16" s="1" t="s">
        <v>991</v>
      </c>
      <c r="E16" s="1" t="s">
        <v>992</v>
      </c>
    </row>
    <row r="17" customFormat="false" ht="15" hidden="false" customHeight="false" outlineLevel="0" collapsed="false">
      <c r="A17" s="1" t="s">
        <v>993</v>
      </c>
      <c r="B17" s="1" t="s">
        <v>994</v>
      </c>
      <c r="C17" s="1"/>
      <c r="D17" s="1" t="s">
        <v>995</v>
      </c>
      <c r="E17" s="1" t="s">
        <v>996</v>
      </c>
    </row>
    <row r="18" customFormat="false" ht="15" hidden="false" customHeight="false" outlineLevel="0" collapsed="false">
      <c r="A18" s="1" t="s">
        <v>997</v>
      </c>
      <c r="B18" s="1" t="s">
        <v>998</v>
      </c>
      <c r="C18" s="1"/>
      <c r="D18" s="1" t="s">
        <v>999</v>
      </c>
      <c r="E18" s="1" t="s">
        <v>1000</v>
      </c>
    </row>
    <row r="19" customFormat="false" ht="15" hidden="false" customHeight="false" outlineLevel="0" collapsed="false">
      <c r="A19" s="1" t="s">
        <v>1001</v>
      </c>
      <c r="B19" s="1" t="s">
        <v>1002</v>
      </c>
      <c r="C19" s="1"/>
      <c r="D19" s="1" t="s">
        <v>989</v>
      </c>
      <c r="E19" s="1" t="s">
        <v>1003</v>
      </c>
    </row>
    <row r="20" customFormat="false" ht="15" hidden="false" customHeight="false" outlineLevel="0" collapsed="false">
      <c r="A20" s="1" t="s">
        <v>1004</v>
      </c>
      <c r="B20" s="1" t="s">
        <v>1005</v>
      </c>
      <c r="C20" s="1"/>
      <c r="D20" s="1" t="s">
        <v>1006</v>
      </c>
      <c r="E20" s="1" t="s">
        <v>1007</v>
      </c>
    </row>
    <row r="21" customFormat="false" ht="15" hidden="false" customHeight="false" outlineLevel="0" collapsed="false">
      <c r="A21" s="1" t="s">
        <v>1008</v>
      </c>
      <c r="B21" s="1" t="s">
        <v>1009</v>
      </c>
      <c r="C21" s="1"/>
      <c r="D21" s="1" t="s">
        <v>1010</v>
      </c>
      <c r="E21" s="1" t="s">
        <v>1011</v>
      </c>
    </row>
    <row r="22" customFormat="false" ht="15" hidden="false" customHeight="false" outlineLevel="0" collapsed="false">
      <c r="A22" s="1"/>
      <c r="B22" s="1"/>
      <c r="C22" s="1"/>
      <c r="D22" s="1" t="s">
        <v>1012</v>
      </c>
      <c r="E22" s="1" t="s">
        <v>1013</v>
      </c>
    </row>
    <row r="23" customFormat="false" ht="15" hidden="false" customHeight="false" outlineLevel="0" collapsed="false">
      <c r="A23" s="1" t="s">
        <v>1014</v>
      </c>
    </row>
    <row r="24" customFormat="false" ht="15" hidden="false" customHeight="false" outlineLevel="0" collapsed="false">
      <c r="A24" s="1" t="s">
        <v>174</v>
      </c>
      <c r="B24" s="1" t="s">
        <v>1015</v>
      </c>
      <c r="C24" s="1" t="s">
        <v>1016</v>
      </c>
    </row>
    <row r="25" customFormat="false" ht="15" hidden="false" customHeight="false" outlineLevel="0" collapsed="false">
      <c r="A25" s="1" t="s">
        <v>1017</v>
      </c>
      <c r="B25" s="1" t="s">
        <v>1018</v>
      </c>
      <c r="C25" s="1" t="s">
        <v>1019</v>
      </c>
    </row>
    <row r="26" customFormat="false" ht="15" hidden="false" customHeight="false" outlineLevel="0" collapsed="false">
      <c r="A26" s="1" t="s">
        <v>1020</v>
      </c>
      <c r="B26" s="1" t="s">
        <v>1021</v>
      </c>
      <c r="C26" s="1" t="s">
        <v>1022</v>
      </c>
    </row>
    <row r="27" customFormat="false" ht="15" hidden="false" customHeight="false" outlineLevel="0" collapsed="false">
      <c r="A27" s="1" t="s">
        <v>1023</v>
      </c>
      <c r="B27" s="1" t="s">
        <v>1024</v>
      </c>
      <c r="C27" s="1" t="s">
        <v>1025</v>
      </c>
    </row>
    <row r="28" customFormat="false" ht="15" hidden="false" customHeight="false" outlineLevel="0" collapsed="false">
      <c r="A28" s="1" t="s">
        <v>1026</v>
      </c>
      <c r="B28" s="1" t="s">
        <v>1027</v>
      </c>
      <c r="C28" s="1" t="s">
        <v>1028</v>
      </c>
    </row>
    <row r="29" customFormat="false" ht="15" hidden="false" customHeight="false" outlineLevel="0" collapsed="false">
      <c r="A29" s="1" t="s">
        <v>1029</v>
      </c>
      <c r="B29" s="1" t="s">
        <v>1030</v>
      </c>
      <c r="C29" s="1" t="s">
        <v>1031</v>
      </c>
    </row>
    <row r="30" customFormat="false" ht="15" hidden="false" customHeight="false" outlineLevel="0" collapsed="false">
      <c r="A30" s="1" t="s">
        <v>321</v>
      </c>
      <c r="B30" s="1" t="s">
        <v>1032</v>
      </c>
      <c r="C30" s="1" t="s">
        <v>1033</v>
      </c>
    </row>
    <row r="31" customFormat="false" ht="15" hidden="false" customHeight="false" outlineLevel="0" collapsed="false">
      <c r="A31" s="1" t="s">
        <v>1034</v>
      </c>
    </row>
    <row r="32" customFormat="false" ht="15" hidden="false" customHeight="false" outlineLevel="0" collapsed="false">
      <c r="A32" s="1" t="s">
        <v>1035</v>
      </c>
      <c r="B32" s="1" t="s">
        <v>1036</v>
      </c>
      <c r="C32" s="1" t="s">
        <v>1037</v>
      </c>
      <c r="D32" s="1" t="s">
        <v>1038</v>
      </c>
      <c r="E32" s="1" t="s">
        <v>1039</v>
      </c>
    </row>
    <row r="33" customFormat="false" ht="15" hidden="false" customHeight="false" outlineLevel="0" collapsed="false">
      <c r="A33" s="1" t="s">
        <v>1040</v>
      </c>
      <c r="B33" s="1" t="n">
        <f aca="false">war_winner_loss</f>
        <v>0.2</v>
      </c>
      <c r="C33" s="1" t="n">
        <f aca="false">B33*war_winner_death_share</f>
        <v>0.06</v>
      </c>
      <c r="D33" s="1" t="n">
        <f aca="false">B33-C33</f>
        <v>0.14</v>
      </c>
      <c r="E33" s="1" t="n">
        <f aca="false">1-B33</f>
        <v>0.8</v>
      </c>
    </row>
    <row r="34" customFormat="false" ht="15" hidden="false" customHeight="false" outlineLevel="0" collapsed="false">
      <c r="A34" s="1" t="s">
        <v>1041</v>
      </c>
      <c r="B34" s="1" t="n">
        <f aca="false">war_loser_loss</f>
        <v>0.4</v>
      </c>
      <c r="C34" s="1" t="n">
        <f aca="false">B34*war_loser_death_share</f>
        <v>0.18</v>
      </c>
      <c r="D34" s="1" t="n">
        <f aca="false">B34-C34</f>
        <v>0.22</v>
      </c>
      <c r="E34" s="1" t="n">
        <f aca="false">1-B34</f>
        <v>0.6</v>
      </c>
    </row>
    <row r="35" customFormat="false" ht="15" hidden="false" customHeight="false" outlineLevel="0" collapsed="false">
      <c r="A35" s="1" t="s">
        <v>1042</v>
      </c>
    </row>
    <row r="36" customFormat="false" ht="15" hidden="false" customHeight="false" outlineLevel="0" collapsed="false">
      <c r="A36" s="1" t="s">
        <v>1043</v>
      </c>
    </row>
    <row r="37" customFormat="false" ht="15" hidden="false" customHeight="false" outlineLevel="0" collapsed="false">
      <c r="A37" s="1" t="s">
        <v>1044</v>
      </c>
    </row>
    <row r="38" customFormat="false" ht="15" hidden="false" customHeight="false" outlineLevel="0" collapsed="false">
      <c r="A38" s="1" t="s">
        <v>1045</v>
      </c>
    </row>
    <row r="39" customFormat="false" ht="15" hidden="false" customHeight="false" outlineLevel="0" collapsed="false">
      <c r="A39" s="1" t="s">
        <v>1046</v>
      </c>
    </row>
    <row r="40" customFormat="false" ht="15" hidden="false" customHeight="false" outlineLevel="0" collapsed="false">
      <c r="A40" s="1" t="s">
        <v>1047</v>
      </c>
      <c r="B40" s="1" t="s">
        <v>1048</v>
      </c>
      <c r="C40" s="1" t="s">
        <v>1049</v>
      </c>
      <c r="D40" s="1" t="s">
        <v>1050</v>
      </c>
      <c r="E40" s="1" t="s">
        <v>505</v>
      </c>
      <c r="F40" s="1" t="s">
        <v>506</v>
      </c>
    </row>
    <row r="41" customFormat="false" ht="15" hidden="false" customHeight="false" outlineLevel="0" collapsed="false">
      <c r="A41" s="1" t="s">
        <v>1051</v>
      </c>
      <c r="B41" s="3" t="n">
        <v>120</v>
      </c>
      <c r="C41" s="3" t="n">
        <v>42000</v>
      </c>
      <c r="D41" s="1" t="n">
        <f aca="false">C41</f>
        <v>42000</v>
      </c>
      <c r="E41" s="1" t="n">
        <f aca="false">MIN(war_member_cap,D41/SUM($D$41:$D$46))</f>
        <v>0.15</v>
      </c>
      <c r="F41" s="1" t="n">
        <f aca="false">ROUND(E41*$C$47,0)</f>
        <v>7500</v>
      </c>
    </row>
    <row r="42" customFormat="false" ht="15" hidden="false" customHeight="false" outlineLevel="0" collapsed="false">
      <c r="A42" s="1" t="s">
        <v>1052</v>
      </c>
      <c r="B42" s="3" t="n">
        <v>90</v>
      </c>
      <c r="C42" s="3" t="n">
        <v>28000</v>
      </c>
      <c r="D42" s="1" t="n">
        <f aca="false">C42</f>
        <v>28000</v>
      </c>
      <c r="E42" s="1" t="n">
        <f aca="false">MIN(war_member_cap,D42/SUM($D$41:$D$46))</f>
        <v>0.15</v>
      </c>
      <c r="F42" s="1" t="n">
        <f aca="false">ROUND(E42*$C$47,0)</f>
        <v>7500</v>
      </c>
    </row>
    <row r="43" customFormat="false" ht="15" hidden="false" customHeight="false" outlineLevel="0" collapsed="false">
      <c r="A43" s="1" t="s">
        <v>1053</v>
      </c>
      <c r="B43" s="3" t="n">
        <v>60</v>
      </c>
      <c r="C43" s="3" t="n">
        <v>15000</v>
      </c>
      <c r="D43" s="1" t="n">
        <f aca="false">C43</f>
        <v>15000</v>
      </c>
      <c r="E43" s="1" t="n">
        <f aca="false">MIN(war_member_cap,D43/SUM($D$41:$D$46))</f>
        <v>0.15</v>
      </c>
      <c r="F43" s="1" t="n">
        <f aca="false">ROUND(E43*$C$47,0)</f>
        <v>7500</v>
      </c>
    </row>
    <row r="44" customFormat="false" ht="15" hidden="false" customHeight="false" outlineLevel="0" collapsed="false">
      <c r="A44" s="1" t="s">
        <v>1054</v>
      </c>
      <c r="B44" s="3" t="n">
        <v>40</v>
      </c>
      <c r="C44" s="3" t="n">
        <v>8000</v>
      </c>
      <c r="D44" s="1" t="n">
        <f aca="false">C44</f>
        <v>8000</v>
      </c>
      <c r="E44" s="1" t="n">
        <f aca="false">MIN(war_member_cap,D44/SUM($D$41:$D$46))</f>
        <v>0.0814663951120163</v>
      </c>
      <c r="F44" s="1" t="n">
        <f aca="false">ROUND(E44*$C$47,0)</f>
        <v>4073</v>
      </c>
    </row>
    <row r="45" customFormat="false" ht="15" hidden="false" customHeight="false" outlineLevel="0" collapsed="false">
      <c r="A45" s="1" t="s">
        <v>1055</v>
      </c>
      <c r="B45" s="3" t="n">
        <v>25</v>
      </c>
      <c r="C45" s="3" t="n">
        <v>4000</v>
      </c>
      <c r="D45" s="1" t="n">
        <f aca="false">C45</f>
        <v>4000</v>
      </c>
      <c r="E45" s="1" t="n">
        <f aca="false">MIN(war_member_cap,D45/SUM($D$41:$D$46))</f>
        <v>0.0407331975560082</v>
      </c>
      <c r="F45" s="1" t="n">
        <f aca="false">ROUND(E45*$C$47,0)</f>
        <v>2037</v>
      </c>
    </row>
    <row r="46" customFormat="false" ht="15" hidden="false" customHeight="false" outlineLevel="0" collapsed="false">
      <c r="A46" s="1" t="s">
        <v>1056</v>
      </c>
      <c r="B46" s="3" t="n">
        <v>10</v>
      </c>
      <c r="C46" s="3" t="n">
        <v>1200</v>
      </c>
      <c r="D46" s="1" t="n">
        <f aca="false">C46</f>
        <v>1200</v>
      </c>
      <c r="E46" s="1" t="n">
        <f aca="false">MIN(war_member_cap,D46/SUM($D$41:$D$46))</f>
        <v>0.0122199592668024</v>
      </c>
      <c r="F46" s="1" t="n">
        <f aca="false">ROUND(E46*$C$47,0)</f>
        <v>611</v>
      </c>
    </row>
    <row r="47" customFormat="false" ht="15" hidden="false" customHeight="false" outlineLevel="0" collapsed="false">
      <c r="A47" s="1" t="s">
        <v>1057</v>
      </c>
      <c r="B47" s="1"/>
      <c r="C47" s="3" t="n">
        <v>50000</v>
      </c>
      <c r="D47" s="1" t="s">
        <v>1058</v>
      </c>
      <c r="E47" s="1" t="n">
        <f aca="false">war_loser_reward_share</f>
        <v>0.25</v>
      </c>
    </row>
    <row r="48" customFormat="false" ht="15" hidden="false" customHeight="false" outlineLevel="0" collapsed="false">
      <c r="A48" s="1" t="str">
        <f aca="false">"Aʼzo mukofot shifti "&amp;TEXT(war_member_cap,"0%")&amp;": shiftdan ortgan qism (misolda "&amp;TEXT(C47-SUM(F41:F46),"#,##0")&amp;" tanga) klan xazinasiga tushadi."</f>
        <v>Aʼzo mukofot shifti 15%: shiftdan ortgan qism (misolda 20,779 tanga) klan xazinasiga tushadi.</v>
      </c>
    </row>
    <row r="49" customFormat="false" ht="15" hidden="false" customHeight="false" outlineLevel="0" collapsed="false">
      <c r="A49" s="1" t="s">
        <v>1059</v>
      </c>
    </row>
    <row r="50" customFormat="false" ht="15" hidden="false" customHeight="false" outlineLevel="0" collapsed="false">
      <c r="A50" s="1" t="s">
        <v>1060</v>
      </c>
    </row>
    <row r="51" customFormat="false" ht="15" hidden="false" customHeight="false" outlineLevel="0" collapsed="false">
      <c r="A51" s="1" t="s">
        <v>1061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3" customFormat="false" ht="15" hidden="false" customHeight="false" outlineLevel="0" collapsed="false">
      <c r="A3" s="1" t="s">
        <v>1062</v>
      </c>
    </row>
    <row r="4" customFormat="false" ht="15" hidden="false" customHeight="false" outlineLevel="0" collapsed="false">
      <c r="A4" s="1" t="s">
        <v>1063</v>
      </c>
    </row>
    <row r="5" customFormat="false" ht="15" hidden="false" customHeight="false" outlineLevel="0" collapsed="false">
      <c r="A5" s="1" t="s">
        <v>1064</v>
      </c>
    </row>
    <row r="6" customFormat="false" ht="15" hidden="false" customHeight="false" outlineLevel="0" collapsed="false">
      <c r="A6" s="1" t="s">
        <v>1065</v>
      </c>
      <c r="B6" s="1" t="s">
        <v>1066</v>
      </c>
      <c r="C6" s="1" t="s">
        <v>1067</v>
      </c>
      <c r="D6" s="1" t="s">
        <v>1068</v>
      </c>
      <c r="E6" s="1" t="s">
        <v>1069</v>
      </c>
    </row>
    <row r="7" customFormat="false" ht="15" hidden="false" customHeight="false" outlineLevel="0" collapsed="false">
      <c r="A7" s="1" t="s">
        <v>1070</v>
      </c>
      <c r="B7" s="1" t="s">
        <v>1071</v>
      </c>
      <c r="C7" s="1" t="s">
        <v>1072</v>
      </c>
      <c r="D7" s="1" t="s">
        <v>1073</v>
      </c>
      <c r="E7" s="1" t="s">
        <v>1074</v>
      </c>
    </row>
    <row r="8" customFormat="false" ht="15" hidden="false" customHeight="false" outlineLevel="0" collapsed="false">
      <c r="A8" s="1" t="s">
        <v>1075</v>
      </c>
      <c r="B8" s="1" t="s">
        <v>1076</v>
      </c>
      <c r="C8" s="1" t="s">
        <v>1077</v>
      </c>
      <c r="D8" s="1" t="s">
        <v>1073</v>
      </c>
      <c r="E8" s="1" t="s">
        <v>1078</v>
      </c>
    </row>
    <row r="9" customFormat="false" ht="15" hidden="false" customHeight="false" outlineLevel="0" collapsed="false">
      <c r="A9" s="1" t="s">
        <v>1079</v>
      </c>
      <c r="B9" s="1" t="s">
        <v>1080</v>
      </c>
      <c r="C9" s="1" t="s">
        <v>1081</v>
      </c>
      <c r="D9" s="1" t="s">
        <v>1073</v>
      </c>
      <c r="E9" s="1" t="s">
        <v>1082</v>
      </c>
    </row>
    <row r="10" customFormat="false" ht="15" hidden="false" customHeight="false" outlineLevel="0" collapsed="false">
      <c r="A10" s="1" t="s">
        <v>1083</v>
      </c>
      <c r="B10" s="1" t="s">
        <v>1080</v>
      </c>
      <c r="C10" s="1" t="s">
        <v>1084</v>
      </c>
      <c r="D10" s="1" t="s">
        <v>1085</v>
      </c>
      <c r="E10" s="1" t="s">
        <v>1086</v>
      </c>
    </row>
    <row r="11" customFormat="false" ht="15" hidden="false" customHeight="false" outlineLevel="0" collapsed="false">
      <c r="A11" s="1" t="s">
        <v>1087</v>
      </c>
      <c r="B11" s="1" t="s">
        <v>1080</v>
      </c>
      <c r="C11" s="1" t="s">
        <v>1084</v>
      </c>
      <c r="D11" s="1" t="s">
        <v>1088</v>
      </c>
      <c r="E11" s="1" t="s">
        <v>1089</v>
      </c>
    </row>
    <row r="12" customFormat="false" ht="15" hidden="false" customHeight="false" outlineLevel="0" collapsed="false">
      <c r="A12" s="1" t="s">
        <v>1090</v>
      </c>
    </row>
    <row r="13" customFormat="false" ht="15" hidden="false" customHeight="false" outlineLevel="0" collapsed="false">
      <c r="A13" s="1" t="s">
        <v>1091</v>
      </c>
    </row>
    <row r="14" customFormat="false" ht="15" hidden="false" customHeight="false" outlineLevel="0" collapsed="false">
      <c r="A14" s="2" t="s">
        <v>2</v>
      </c>
      <c r="B14" s="2" t="s">
        <v>1068</v>
      </c>
      <c r="C14" s="2" t="s">
        <v>1092</v>
      </c>
      <c r="D14" s="2" t="s">
        <v>911</v>
      </c>
      <c r="E14" s="2" t="s">
        <v>1093</v>
      </c>
      <c r="F14" s="2" t="s">
        <v>1094</v>
      </c>
      <c r="G14" s="2" t="s">
        <v>1095</v>
      </c>
      <c r="H14" s="2" t="s">
        <v>1096</v>
      </c>
    </row>
    <row r="15" customFormat="false" ht="15" hidden="false" customHeight="false" outlineLevel="0" collapsed="false">
      <c r="A15" s="1" t="n">
        <v>1</v>
      </c>
      <c r="B15" s="1" t="n">
        <f aca="false">Darajalar!O6</f>
        <v>1</v>
      </c>
      <c r="C15" s="1" t="n">
        <f aca="false">Oziqlanish!E6</f>
        <v>1</v>
      </c>
      <c r="D15" s="1" t="n">
        <f aca="false">Oziqlanish!L6</f>
        <v>1</v>
      </c>
      <c r="E15" s="1" t="n">
        <f aca="false">INDEX(Binolar!$B$7:$B$31,D15)</f>
        <v>40</v>
      </c>
      <c r="F15" s="1" t="n">
        <f aca="false">E15*offline_store_mult</f>
        <v>80</v>
      </c>
      <c r="G15" s="1" t="n">
        <f aca="false">ROUND(F15/C15,1)</f>
        <v>80</v>
      </c>
      <c r="H15" s="1" t="str">
        <f aca="false">IF(G15&gt;=3,"Sogʻ-salomat","⚠️ 3 kunga yetmaydi")</f>
        <v>Sogʻ-salomat</v>
      </c>
    </row>
    <row r="16" customFormat="false" ht="15" hidden="false" customHeight="false" outlineLevel="0" collapsed="false">
      <c r="A16" s="1" t="n">
        <v>2</v>
      </c>
      <c r="B16" s="1" t="n">
        <f aca="false">Darajalar!O7</f>
        <v>1</v>
      </c>
      <c r="C16" s="1" t="n">
        <f aca="false">Oziqlanish!E7</f>
        <v>1</v>
      </c>
      <c r="D16" s="1" t="n">
        <f aca="false">Oziqlanish!L7</f>
        <v>1</v>
      </c>
      <c r="E16" s="1" t="n">
        <f aca="false">INDEX(Binolar!$B$7:$B$31,D16)</f>
        <v>40</v>
      </c>
      <c r="F16" s="1" t="n">
        <f aca="false">E16*offline_store_mult</f>
        <v>80</v>
      </c>
      <c r="G16" s="1" t="n">
        <f aca="false">ROUND(F16/C16,1)</f>
        <v>80</v>
      </c>
      <c r="H16" s="1" t="str">
        <f aca="false">IF(G16&gt;=3,"Sogʻ-salomat","⚠️ 3 kunga yetmaydi")</f>
        <v>Sogʻ-salomat</v>
      </c>
    </row>
    <row r="17" customFormat="false" ht="15" hidden="false" customHeight="false" outlineLevel="0" collapsed="false">
      <c r="A17" s="1" t="n">
        <v>3</v>
      </c>
      <c r="B17" s="1" t="n">
        <f aca="false">Darajalar!O8</f>
        <v>1</v>
      </c>
      <c r="C17" s="1" t="n">
        <f aca="false">Oziqlanish!E8</f>
        <v>1</v>
      </c>
      <c r="D17" s="1" t="n">
        <f aca="false">Oziqlanish!L8</f>
        <v>1</v>
      </c>
      <c r="E17" s="1" t="n">
        <f aca="false">INDEX(Binolar!$B$7:$B$31,D17)</f>
        <v>40</v>
      </c>
      <c r="F17" s="1" t="n">
        <f aca="false">E17*offline_store_mult</f>
        <v>80</v>
      </c>
      <c r="G17" s="1" t="n">
        <f aca="false">ROUND(F17/C17,1)</f>
        <v>80</v>
      </c>
      <c r="H17" s="1" t="str">
        <f aca="false">IF(G17&gt;=3,"Sogʻ-salomat","⚠️ 3 kunga yetmaydi")</f>
        <v>Sogʻ-salomat</v>
      </c>
    </row>
    <row r="18" customFormat="false" ht="15" hidden="false" customHeight="false" outlineLevel="0" collapsed="false">
      <c r="A18" s="1" t="n">
        <v>4</v>
      </c>
      <c r="B18" s="1" t="n">
        <f aca="false">Darajalar!O9</f>
        <v>10</v>
      </c>
      <c r="C18" s="1" t="n">
        <f aca="false">Oziqlanish!E9</f>
        <v>9</v>
      </c>
      <c r="D18" s="1" t="n">
        <f aca="false">Oziqlanish!L9</f>
        <v>1</v>
      </c>
      <c r="E18" s="1" t="n">
        <f aca="false">INDEX(Binolar!$B$7:$B$31,D18)</f>
        <v>40</v>
      </c>
      <c r="F18" s="1" t="n">
        <f aca="false">E18*offline_store_mult</f>
        <v>80</v>
      </c>
      <c r="G18" s="1" t="n">
        <f aca="false">ROUND(F18/C18,1)</f>
        <v>8.9</v>
      </c>
      <c r="H18" s="1" t="str">
        <f aca="false">IF(G18&gt;=3,"Sogʻ-salomat","⚠️ 3 kunga yetmaydi")</f>
        <v>Sogʻ-salomat</v>
      </c>
    </row>
    <row r="19" customFormat="false" ht="15" hidden="false" customHeight="false" outlineLevel="0" collapsed="false">
      <c r="A19" s="1" t="n">
        <v>5</v>
      </c>
      <c r="B19" s="1" t="n">
        <f aca="false">Darajalar!O10</f>
        <v>12</v>
      </c>
      <c r="C19" s="1" t="n">
        <f aca="false">Oziqlanish!E10</f>
        <v>12</v>
      </c>
      <c r="D19" s="1" t="n">
        <f aca="false">Oziqlanish!L10</f>
        <v>1</v>
      </c>
      <c r="E19" s="1" t="n">
        <f aca="false">INDEX(Binolar!$B$7:$B$31,D19)</f>
        <v>40</v>
      </c>
      <c r="F19" s="1" t="n">
        <f aca="false">E19*offline_store_mult</f>
        <v>80</v>
      </c>
      <c r="G19" s="1" t="n">
        <f aca="false">ROUND(F19/C19,1)</f>
        <v>6.7</v>
      </c>
      <c r="H19" s="1" t="str">
        <f aca="false">IF(G19&gt;=3,"Sogʻ-salomat","⚠️ 3 kunga yetmaydi")</f>
        <v>Sogʻ-salomat</v>
      </c>
    </row>
    <row r="20" customFormat="false" ht="15" hidden="false" customHeight="false" outlineLevel="0" collapsed="false">
      <c r="A20" s="1" t="n">
        <v>6</v>
      </c>
      <c r="B20" s="1" t="n">
        <f aca="false">Darajalar!O11</f>
        <v>14</v>
      </c>
      <c r="C20" s="1" t="n">
        <f aca="false">Oziqlanish!E11</f>
        <v>15</v>
      </c>
      <c r="D20" s="1" t="n">
        <f aca="false">Oziqlanish!L11</f>
        <v>2</v>
      </c>
      <c r="E20" s="1" t="n">
        <f aca="false">INDEX(Binolar!$B$7:$B$31,D20)</f>
        <v>49</v>
      </c>
      <c r="F20" s="1" t="n">
        <f aca="false">E20*offline_store_mult</f>
        <v>98</v>
      </c>
      <c r="G20" s="1" t="n">
        <f aca="false">ROUND(F20/C20,1)</f>
        <v>6.5</v>
      </c>
      <c r="H20" s="1" t="str">
        <f aca="false">IF(G20&gt;=3,"Sogʻ-salomat","⚠️ 3 kunga yetmaydi")</f>
        <v>Sogʻ-salomat</v>
      </c>
    </row>
    <row r="21" customFormat="false" ht="15" hidden="false" customHeight="false" outlineLevel="0" collapsed="false">
      <c r="A21" s="1" t="n">
        <v>7</v>
      </c>
      <c r="B21" s="1" t="n">
        <f aca="false">Darajalar!O12</f>
        <v>17</v>
      </c>
      <c r="C21" s="1" t="n">
        <f aca="false">Oziqlanish!E12</f>
        <v>20</v>
      </c>
      <c r="D21" s="1" t="n">
        <f aca="false">Oziqlanish!L12</f>
        <v>4</v>
      </c>
      <c r="E21" s="1" t="n">
        <f aca="false">INDEX(Binolar!$B$7:$B$31,D21)</f>
        <v>73</v>
      </c>
      <c r="F21" s="1" t="n">
        <f aca="false">E21*offline_store_mult</f>
        <v>146</v>
      </c>
      <c r="G21" s="1" t="n">
        <f aca="false">ROUND(F21/C21,1)</f>
        <v>7.3</v>
      </c>
      <c r="H21" s="1" t="str">
        <f aca="false">IF(G21&gt;=3,"Sogʻ-salomat","⚠️ 3 kunga yetmaydi")</f>
        <v>Sogʻ-salomat</v>
      </c>
    </row>
    <row r="22" customFormat="false" ht="15" hidden="false" customHeight="false" outlineLevel="0" collapsed="false">
      <c r="A22" s="1" t="n">
        <v>8</v>
      </c>
      <c r="B22" s="1" t="n">
        <f aca="false">Darajalar!O13</f>
        <v>21</v>
      </c>
      <c r="C22" s="1" t="n">
        <f aca="false">Oziqlanish!E13</f>
        <v>27</v>
      </c>
      <c r="D22" s="1" t="n">
        <f aca="false">Oziqlanish!L13</f>
        <v>5</v>
      </c>
      <c r="E22" s="1" t="n">
        <f aca="false">INDEX(Binolar!$B$7:$B$31,D22)</f>
        <v>89</v>
      </c>
      <c r="F22" s="1" t="n">
        <f aca="false">E22*offline_store_mult</f>
        <v>178</v>
      </c>
      <c r="G22" s="1" t="n">
        <f aca="false">ROUND(F22/C22,1)</f>
        <v>6.6</v>
      </c>
      <c r="H22" s="1" t="str">
        <f aca="false">IF(G22&gt;=3,"Sogʻ-salomat","⚠️ 3 kunga yetmaydi")</f>
        <v>Sogʻ-salomat</v>
      </c>
    </row>
    <row r="23" customFormat="false" ht="15" hidden="false" customHeight="false" outlineLevel="0" collapsed="false">
      <c r="A23" s="1" t="n">
        <v>9</v>
      </c>
      <c r="B23" s="1" t="n">
        <f aca="false">Darajalar!O14</f>
        <v>25</v>
      </c>
      <c r="C23" s="1" t="n">
        <f aca="false">Oziqlanish!E14</f>
        <v>35</v>
      </c>
      <c r="D23" s="1" t="n">
        <f aca="false">Oziqlanish!L14</f>
        <v>6</v>
      </c>
      <c r="E23" s="1" t="n">
        <f aca="false">INDEX(Binolar!$B$7:$B$31,D23)</f>
        <v>108</v>
      </c>
      <c r="F23" s="1" t="n">
        <f aca="false">E23*offline_store_mult</f>
        <v>216</v>
      </c>
      <c r="G23" s="1" t="n">
        <f aca="false">ROUND(F23/C23,1)</f>
        <v>6.2</v>
      </c>
      <c r="H23" s="1" t="str">
        <f aca="false">IF(G23&gt;=3,"Sogʻ-salomat","⚠️ 3 kunga yetmaydi")</f>
        <v>Sogʻ-salomat</v>
      </c>
    </row>
    <row r="24" customFormat="false" ht="15" hidden="false" customHeight="false" outlineLevel="0" collapsed="false">
      <c r="A24" s="1" t="n">
        <v>10</v>
      </c>
      <c r="B24" s="1" t="n">
        <f aca="false">Darajalar!O15</f>
        <v>30</v>
      </c>
      <c r="C24" s="1" t="n">
        <f aca="false">Oziqlanish!E15</f>
        <v>45</v>
      </c>
      <c r="D24" s="1" t="n">
        <f aca="false">Oziqlanish!L15</f>
        <v>8</v>
      </c>
      <c r="E24" s="1" t="n">
        <f aca="false">INDEX(Binolar!$B$7:$B$31,D24)</f>
        <v>161</v>
      </c>
      <c r="F24" s="1" t="n">
        <f aca="false">E24*offline_store_mult</f>
        <v>322</v>
      </c>
      <c r="G24" s="1" t="n">
        <f aca="false">ROUND(F24/C24,1)</f>
        <v>7.2</v>
      </c>
      <c r="H24" s="1" t="str">
        <f aca="false">IF(G24&gt;=3,"Sogʻ-salomat","⚠️ 3 kunga yetmaydi")</f>
        <v>Sogʻ-salomat</v>
      </c>
    </row>
    <row r="25" customFormat="false" ht="15" hidden="false" customHeight="false" outlineLevel="0" collapsed="false">
      <c r="A25" s="1" t="n">
        <v>11</v>
      </c>
      <c r="B25" s="1" t="n">
        <f aca="false">Darajalar!O16</f>
        <v>36</v>
      </c>
      <c r="C25" s="1" t="n">
        <f aca="false">Oziqlanish!E16</f>
        <v>58</v>
      </c>
      <c r="D25" s="1" t="n">
        <f aca="false">Oziqlanish!L16</f>
        <v>9</v>
      </c>
      <c r="E25" s="1" t="n">
        <f aca="false">INDEX(Binolar!$B$7:$B$31,D25)</f>
        <v>196</v>
      </c>
      <c r="F25" s="1" t="n">
        <f aca="false">E25*offline_store_mult</f>
        <v>392</v>
      </c>
      <c r="G25" s="1" t="n">
        <f aca="false">ROUND(F25/C25,1)</f>
        <v>6.8</v>
      </c>
      <c r="H25" s="1" t="str">
        <f aca="false">IF(G25&gt;=3,"Sogʻ-salomat","⚠️ 3 kunga yetmaydi")</f>
        <v>Sogʻ-salomat</v>
      </c>
    </row>
    <row r="26" customFormat="false" ht="15" hidden="false" customHeight="false" outlineLevel="0" collapsed="false">
      <c r="A26" s="1" t="n">
        <v>12</v>
      </c>
      <c r="B26" s="1" t="n">
        <f aca="false">Darajalar!O17</f>
        <v>43</v>
      </c>
      <c r="C26" s="1" t="n">
        <f aca="false">Oziqlanish!E17</f>
        <v>73</v>
      </c>
      <c r="D26" s="1" t="n">
        <f aca="false">Oziqlanish!L17</f>
        <v>10</v>
      </c>
      <c r="E26" s="1" t="n">
        <f aca="false">INDEX(Binolar!$B$7:$B$31,D26)</f>
        <v>239</v>
      </c>
      <c r="F26" s="1" t="n">
        <f aca="false">E26*offline_store_mult</f>
        <v>478</v>
      </c>
      <c r="G26" s="1" t="n">
        <f aca="false">ROUND(F26/C26,1)</f>
        <v>6.5</v>
      </c>
      <c r="H26" s="1" t="str">
        <f aca="false">IF(G26&gt;=3,"Sogʻ-salomat","⚠️ 3 kunga yetmaydi")</f>
        <v>Sogʻ-salomat</v>
      </c>
    </row>
    <row r="27" customFormat="false" ht="15" hidden="false" customHeight="false" outlineLevel="0" collapsed="false">
      <c r="A27" s="1" t="n">
        <v>13</v>
      </c>
      <c r="B27" s="1" t="n">
        <f aca="false">Darajalar!O18</f>
        <v>52</v>
      </c>
      <c r="C27" s="1" t="n">
        <f aca="false">Oziqlanish!E18</f>
        <v>94</v>
      </c>
      <c r="D27" s="1" t="n">
        <f aca="false">Oziqlanish!L18</f>
        <v>11</v>
      </c>
      <c r="E27" s="1" t="n">
        <f aca="false">INDEX(Binolar!$B$7:$B$31,D27)</f>
        <v>292</v>
      </c>
      <c r="F27" s="1" t="n">
        <f aca="false">E27*offline_store_mult</f>
        <v>584</v>
      </c>
      <c r="G27" s="1" t="n">
        <f aca="false">ROUND(F27/C27,1)</f>
        <v>6.2</v>
      </c>
      <c r="H27" s="1" t="str">
        <f aca="false">IF(G27&gt;=3,"Sogʻ-salomat","⚠️ 3 kunga yetmaydi")</f>
        <v>Sogʻ-salomat</v>
      </c>
    </row>
    <row r="28" customFormat="false" ht="15" hidden="false" customHeight="false" outlineLevel="0" collapsed="false">
      <c r="A28" s="1" t="n">
        <v>14</v>
      </c>
      <c r="B28" s="1" t="n">
        <f aca="false">Darajalar!O19</f>
        <v>62</v>
      </c>
      <c r="C28" s="1" t="n">
        <f aca="false">Oziqlanish!E19</f>
        <v>118</v>
      </c>
      <c r="D28" s="1" t="n">
        <f aca="false">Oziqlanish!L19</f>
        <v>12</v>
      </c>
      <c r="E28" s="1" t="n">
        <f aca="false">INDEX(Binolar!$B$7:$B$31,D28)</f>
        <v>356</v>
      </c>
      <c r="F28" s="1" t="n">
        <f aca="false">E28*offline_store_mult</f>
        <v>712</v>
      </c>
      <c r="G28" s="1" t="n">
        <f aca="false">ROUND(F28/C28,1)</f>
        <v>6</v>
      </c>
      <c r="H28" s="1" t="str">
        <f aca="false">IF(G28&gt;=3,"Sogʻ-salomat","⚠️ 3 kunga yetmaydi")</f>
        <v>Sogʻ-salomat</v>
      </c>
    </row>
    <row r="29" customFormat="false" ht="15" hidden="false" customHeight="false" outlineLevel="0" collapsed="false">
      <c r="A29" s="1" t="n">
        <v>15</v>
      </c>
      <c r="B29" s="1" t="n">
        <f aca="false">Darajalar!O20</f>
        <v>74</v>
      </c>
      <c r="C29" s="1" t="n">
        <f aca="false">Oziqlanish!E20</f>
        <v>148</v>
      </c>
      <c r="D29" s="1" t="n">
        <f aca="false">Oziqlanish!L20</f>
        <v>14</v>
      </c>
      <c r="E29" s="1" t="n">
        <f aca="false">INDEX(Binolar!$B$7:$B$31,D29)</f>
        <v>531</v>
      </c>
      <c r="F29" s="1" t="n">
        <f aca="false">E29*offline_store_mult</f>
        <v>1062</v>
      </c>
      <c r="G29" s="1" t="n">
        <f aca="false">ROUND(F29/C29,1)</f>
        <v>7.2</v>
      </c>
      <c r="H29" s="1" t="str">
        <f aca="false">IF(G29&gt;=3,"Sogʻ-salomat","⚠️ 3 kunga yetmaydi")</f>
        <v>Sogʻ-salomat</v>
      </c>
    </row>
    <row r="30" customFormat="false" ht="15" hidden="false" customHeight="false" outlineLevel="0" collapsed="false">
      <c r="A30" s="1" t="n">
        <v>16</v>
      </c>
      <c r="B30" s="1" t="n">
        <f aca="false">Darajalar!O21</f>
        <v>89</v>
      </c>
      <c r="C30" s="1" t="n">
        <f aca="false">Oziqlanish!E21</f>
        <v>187</v>
      </c>
      <c r="D30" s="1" t="n">
        <f aca="false">Oziqlanish!L21</f>
        <v>15</v>
      </c>
      <c r="E30" s="1" t="n">
        <f aca="false">INDEX(Binolar!$B$7:$B$31,D30)</f>
        <v>647</v>
      </c>
      <c r="F30" s="1" t="n">
        <f aca="false">E30*offline_store_mult</f>
        <v>1294</v>
      </c>
      <c r="G30" s="1" t="n">
        <f aca="false">ROUND(F30/C30,1)</f>
        <v>6.9</v>
      </c>
      <c r="H30" s="1" t="str">
        <f aca="false">IF(G30&gt;=3,"Sogʻ-salomat","⚠️ 3 kunga yetmaydi")</f>
        <v>Sogʻ-salomat</v>
      </c>
    </row>
    <row r="31" customFormat="false" ht="15" hidden="false" customHeight="false" outlineLevel="0" collapsed="false">
      <c r="A31" s="1" t="n">
        <v>17</v>
      </c>
      <c r="B31" s="1" t="n">
        <f aca="false">Darajalar!O22</f>
        <v>107</v>
      </c>
      <c r="C31" s="1" t="n">
        <f aca="false">Oziqlanish!E22</f>
        <v>235</v>
      </c>
      <c r="D31" s="1" t="n">
        <f aca="false">Oziqlanish!L22</f>
        <v>16</v>
      </c>
      <c r="E31" s="1" t="n">
        <f aca="false">INDEX(Binolar!$B$7:$B$31,D31)</f>
        <v>790</v>
      </c>
      <c r="F31" s="1" t="n">
        <f aca="false">E31*offline_store_mult</f>
        <v>1580</v>
      </c>
      <c r="G31" s="1" t="n">
        <f aca="false">ROUND(F31/C31,1)</f>
        <v>6.7</v>
      </c>
      <c r="H31" s="1" t="str">
        <f aca="false">IF(G31&gt;=3,"Sogʻ-salomat","⚠️ 3 kunga yetmaydi")</f>
        <v>Sogʻ-salomat</v>
      </c>
    </row>
    <row r="32" customFormat="false" ht="15" hidden="false" customHeight="false" outlineLevel="0" collapsed="false">
      <c r="A32" s="1" t="n">
        <v>18</v>
      </c>
      <c r="B32" s="1" t="n">
        <f aca="false">Darajalar!O23</f>
        <v>128</v>
      </c>
      <c r="C32" s="1" t="n">
        <f aca="false">Oziqlanish!E23</f>
        <v>294</v>
      </c>
      <c r="D32" s="1" t="n">
        <f aca="false">Oziqlanish!L23</f>
        <v>17</v>
      </c>
      <c r="E32" s="1" t="n">
        <f aca="false">INDEX(Binolar!$B$7:$B$31,D32)</f>
        <v>963</v>
      </c>
      <c r="F32" s="1" t="n">
        <f aca="false">E32*offline_store_mult</f>
        <v>1926</v>
      </c>
      <c r="G32" s="1" t="n">
        <f aca="false">ROUND(F32/C32,1)</f>
        <v>6.6</v>
      </c>
      <c r="H32" s="1" t="str">
        <f aca="false">IF(G32&gt;=3,"Sogʻ-salomat","⚠️ 3 kunga yetmaydi")</f>
        <v>Sogʻ-salomat</v>
      </c>
    </row>
    <row r="33" customFormat="false" ht="15" hidden="false" customHeight="false" outlineLevel="0" collapsed="false">
      <c r="A33" s="1" t="n">
        <v>19</v>
      </c>
      <c r="B33" s="1" t="n">
        <f aca="false">Darajalar!O24</f>
        <v>154</v>
      </c>
      <c r="C33" s="1" t="n">
        <f aca="false">Oziqlanish!E24</f>
        <v>370</v>
      </c>
      <c r="D33" s="1" t="n">
        <f aca="false">Oziqlanish!L24</f>
        <v>18</v>
      </c>
      <c r="E33" s="1" t="n">
        <f aca="false">INDEX(Binolar!$B$7:$B$31,D33)</f>
        <v>1175</v>
      </c>
      <c r="F33" s="1" t="n">
        <f aca="false">E33*offline_store_mult</f>
        <v>2350</v>
      </c>
      <c r="G33" s="1" t="n">
        <f aca="false">ROUND(F33/C33,1)</f>
        <v>6.4</v>
      </c>
      <c r="H33" s="1" t="str">
        <f aca="false">IF(G33&gt;=3,"Sogʻ-salomat","⚠️ 3 kunga yetmaydi")</f>
        <v>Sogʻ-salomat</v>
      </c>
    </row>
    <row r="34" customFormat="false" ht="15" hidden="false" customHeight="false" outlineLevel="0" collapsed="false">
      <c r="A34" s="1" t="n">
        <v>20</v>
      </c>
      <c r="B34" s="1" t="n">
        <f aca="false">Darajalar!O25</f>
        <v>185</v>
      </c>
      <c r="C34" s="1" t="n">
        <f aca="false">Oziqlanish!E25</f>
        <v>463</v>
      </c>
      <c r="D34" s="1" t="n">
        <f aca="false">Oziqlanish!L25</f>
        <v>19</v>
      </c>
      <c r="E34" s="1" t="n">
        <f aca="false">INDEX(Binolar!$B$7:$B$31,D34)</f>
        <v>1434</v>
      </c>
      <c r="F34" s="1" t="n">
        <f aca="false">E34*offline_store_mult</f>
        <v>2868</v>
      </c>
      <c r="G34" s="1" t="n">
        <f aca="false">ROUND(F34/C34,1)</f>
        <v>6.2</v>
      </c>
      <c r="H34" s="1" t="str">
        <f aca="false">IF(G34&gt;=3,"Sogʻ-salomat","⚠️ 3 kunga yetmaydi")</f>
        <v>Sogʻ-salomat</v>
      </c>
    </row>
    <row r="35" customFormat="false" ht="15" hidden="false" customHeight="false" outlineLevel="0" collapsed="false">
      <c r="A35" s="1" t="n">
        <v>21</v>
      </c>
      <c r="B35" s="1" t="n">
        <f aca="false">Darajalar!O26</f>
        <v>222</v>
      </c>
      <c r="C35" s="1" t="n">
        <f aca="false">Oziqlanish!E26</f>
        <v>577</v>
      </c>
      <c r="D35" s="1" t="n">
        <f aca="false">Oziqlanish!L26</f>
        <v>20</v>
      </c>
      <c r="E35" s="1" t="n">
        <f aca="false">INDEX(Binolar!$B$7:$B$31,D35)</f>
        <v>1749</v>
      </c>
      <c r="F35" s="1" t="n">
        <f aca="false">E35*offline_store_mult</f>
        <v>3498</v>
      </c>
      <c r="G35" s="1" t="n">
        <f aca="false">ROUND(F35/C35,1)</f>
        <v>6.1</v>
      </c>
      <c r="H35" s="1" t="str">
        <f aca="false">IF(G35&gt;=3,"Sogʻ-salomat","⚠️ 3 kunga yetmaydi")</f>
        <v>Sogʻ-salomat</v>
      </c>
    </row>
    <row r="36" customFormat="false" ht="15" hidden="false" customHeight="false" outlineLevel="0" collapsed="false">
      <c r="A36" s="1" t="n">
        <v>22</v>
      </c>
      <c r="B36" s="1" t="n">
        <f aca="false">Darajalar!O27</f>
        <v>266</v>
      </c>
      <c r="C36" s="1" t="n">
        <f aca="false">Oziqlanish!E27</f>
        <v>718</v>
      </c>
      <c r="D36" s="1" t="n">
        <f aca="false">Oziqlanish!L27</f>
        <v>22</v>
      </c>
      <c r="E36" s="1" t="n">
        <f aca="false">INDEX(Binolar!$B$7:$B$31,D36)</f>
        <v>2604</v>
      </c>
      <c r="F36" s="1" t="n">
        <f aca="false">E36*offline_store_mult</f>
        <v>5208</v>
      </c>
      <c r="G36" s="1" t="n">
        <f aca="false">ROUND(F36/C36,1)</f>
        <v>7.3</v>
      </c>
      <c r="H36" s="1" t="str">
        <f aca="false">IF(G36&gt;=3,"Sogʻ-salomat","⚠️ 3 kunga yetmaydi")</f>
        <v>Sogʻ-salomat</v>
      </c>
    </row>
    <row r="37" customFormat="false" ht="15" hidden="false" customHeight="false" outlineLevel="0" collapsed="false">
      <c r="A37" s="1" t="n">
        <v>23</v>
      </c>
      <c r="B37" s="1" t="n">
        <f aca="false">Darajalar!O28</f>
        <v>319</v>
      </c>
      <c r="C37" s="1" t="n">
        <f aca="false">Oziqlanish!E28</f>
        <v>893</v>
      </c>
      <c r="D37" s="1" t="n">
        <f aca="false">Oziqlanish!L28</f>
        <v>23</v>
      </c>
      <c r="E37" s="1" t="n">
        <f aca="false">INDEX(Binolar!$B$7:$B$31,D37)</f>
        <v>3177</v>
      </c>
      <c r="F37" s="1" t="n">
        <f aca="false">E37*offline_store_mult</f>
        <v>6354</v>
      </c>
      <c r="G37" s="1" t="n">
        <f aca="false">ROUND(F37/C37,1)</f>
        <v>7.1</v>
      </c>
      <c r="H37" s="1" t="str">
        <f aca="false">IF(G37&gt;=3,"Sogʻ-salomat","⚠️ 3 kunga yetmaydi")</f>
        <v>Sogʻ-salomat</v>
      </c>
    </row>
    <row r="38" customFormat="false" ht="15" hidden="false" customHeight="false" outlineLevel="0" collapsed="false">
      <c r="A38" s="1" t="n">
        <v>24</v>
      </c>
      <c r="B38" s="1" t="n">
        <f aca="false">Darajalar!O29</f>
        <v>383</v>
      </c>
      <c r="C38" s="1" t="n">
        <f aca="false">Oziqlanish!E29</f>
        <v>1111</v>
      </c>
      <c r="D38" s="1" t="n">
        <f aca="false">Oziqlanish!L29</f>
        <v>24</v>
      </c>
      <c r="E38" s="1" t="n">
        <f aca="false">INDEX(Binolar!$B$7:$B$31,D38)</f>
        <v>3876</v>
      </c>
      <c r="F38" s="1" t="n">
        <f aca="false">E38*offline_store_mult</f>
        <v>7752</v>
      </c>
      <c r="G38" s="1" t="n">
        <f aca="false">ROUND(F38/C38,1)</f>
        <v>7</v>
      </c>
      <c r="H38" s="1" t="str">
        <f aca="false">IF(G38&gt;=3,"Sogʻ-salomat","⚠️ 3 kunga yetmaydi")</f>
        <v>Sogʻ-salomat</v>
      </c>
    </row>
    <row r="39" customFormat="false" ht="15" hidden="false" customHeight="false" outlineLevel="0" collapsed="false">
      <c r="A39" s="1" t="n">
        <v>25</v>
      </c>
      <c r="B39" s="1" t="n">
        <f aca="false">Darajalar!O30</f>
        <v>460</v>
      </c>
      <c r="C39" s="1" t="n">
        <f aca="false">Oziqlanish!E30</f>
        <v>1380</v>
      </c>
      <c r="D39" s="1" t="n">
        <f aca="false">Oziqlanish!L30</f>
        <v>25</v>
      </c>
      <c r="E39" s="1" t="n">
        <f aca="false">INDEX(Binolar!$B$7:$B$31,D39)</f>
        <v>4728</v>
      </c>
      <c r="F39" s="1" t="n">
        <f aca="false">E39*offline_store_mult</f>
        <v>9456</v>
      </c>
      <c r="G39" s="1" t="n">
        <f aca="false">ROUND(F39/C39,1)</f>
        <v>6.9</v>
      </c>
      <c r="H39" s="1" t="str">
        <f aca="false">IF(G39&gt;=3,"Sogʻ-salomat","⚠️ 3 kunga yetmaydi")</f>
        <v>Sogʻ-salomat</v>
      </c>
    </row>
    <row r="40" customFormat="false" ht="15" hidden="false" customHeight="false" outlineLevel="0" collapsed="false">
      <c r="A40" s="1" t="s">
        <v>1097</v>
      </c>
      <c r="B40" s="1"/>
      <c r="C40" s="1"/>
      <c r="D40" s="1" t="s">
        <v>1098</v>
      </c>
    </row>
    <row r="41" customFormat="false" ht="15" hidden="false" customHeight="false" outlineLevel="0" collapsed="false">
      <c r="A41" s="1" t="s">
        <v>15</v>
      </c>
      <c r="B41" s="1" t="s">
        <v>1099</v>
      </c>
      <c r="C41" s="1"/>
      <c r="D41" s="1" t="s">
        <v>1100</v>
      </c>
      <c r="E41" s="1" t="s">
        <v>1101</v>
      </c>
    </row>
    <row r="42" customFormat="false" ht="15" hidden="false" customHeight="false" outlineLevel="0" collapsed="false">
      <c r="A42" s="1" t="s">
        <v>1066</v>
      </c>
      <c r="B42" s="1" t="s">
        <v>1102</v>
      </c>
      <c r="C42" s="1"/>
      <c r="D42" s="1" t="s">
        <v>959</v>
      </c>
      <c r="E42" s="1" t="s">
        <v>1103</v>
      </c>
    </row>
    <row r="43" customFormat="false" ht="15" hidden="false" customHeight="false" outlineLevel="0" collapsed="false">
      <c r="A43" s="1" t="s">
        <v>1104</v>
      </c>
      <c r="B43" s="1" t="s">
        <v>1105</v>
      </c>
      <c r="C43" s="1"/>
      <c r="D43" s="1" t="s">
        <v>1106</v>
      </c>
      <c r="E43" s="1" t="s">
        <v>1107</v>
      </c>
    </row>
    <row r="44" customFormat="false" ht="15" hidden="false" customHeight="false" outlineLevel="0" collapsed="false">
      <c r="A44" s="1" t="s">
        <v>1108</v>
      </c>
      <c r="B44" s="1" t="s">
        <v>1109</v>
      </c>
      <c r="C44" s="1"/>
      <c r="D44" s="1" t="s">
        <v>731</v>
      </c>
      <c r="E44" s="1" t="s">
        <v>1110</v>
      </c>
    </row>
    <row r="45" customFormat="false" ht="15" hidden="false" customHeight="false" outlineLevel="0" collapsed="false">
      <c r="A45" s="1" t="s">
        <v>1111</v>
      </c>
      <c r="B45" s="1" t="s">
        <v>1112</v>
      </c>
      <c r="C45" s="1"/>
      <c r="D45" s="1" t="s">
        <v>1113</v>
      </c>
      <c r="E45" s="1" t="s">
        <v>1114</v>
      </c>
    </row>
    <row r="46" customFormat="false" ht="15" hidden="false" customHeight="false" outlineLevel="0" collapsed="false">
      <c r="A46" s="1" t="s">
        <v>1115</v>
      </c>
      <c r="B46" s="1" t="s">
        <v>1116</v>
      </c>
      <c r="C46" s="1"/>
      <c r="D46" s="1" t="s">
        <v>1117</v>
      </c>
      <c r="E46" s="1" t="s">
        <v>1118</v>
      </c>
    </row>
    <row r="47" customFormat="false" ht="15" hidden="false" customHeight="false" outlineLevel="0" collapsed="false">
      <c r="A47" s="1"/>
      <c r="B47" s="1"/>
      <c r="C47" s="1"/>
      <c r="D47" s="1" t="s">
        <v>1119</v>
      </c>
      <c r="E47" s="1" t="s">
        <v>1120</v>
      </c>
    </row>
    <row r="48" customFormat="false" ht="15" hidden="false" customHeight="false" outlineLevel="0" collapsed="false">
      <c r="A48" s="1" t="s">
        <v>1121</v>
      </c>
    </row>
    <row r="49" customFormat="false" ht="15" hidden="false" customHeight="false" outlineLevel="0" collapsed="false">
      <c r="A49" s="1" t="s">
        <v>1122</v>
      </c>
      <c r="B49" s="1" t="s">
        <v>1123</v>
      </c>
    </row>
    <row r="50" customFormat="false" ht="15" hidden="false" customHeight="false" outlineLevel="0" collapsed="false">
      <c r="A50" s="1" t="s">
        <v>1124</v>
      </c>
      <c r="B50" s="1" t="s">
        <v>1125</v>
      </c>
    </row>
    <row r="51" customFormat="false" ht="15" hidden="false" customHeight="false" outlineLevel="0" collapsed="false">
      <c r="A51" s="1" t="s">
        <v>1126</v>
      </c>
      <c r="B51" s="1" t="s">
        <v>1127</v>
      </c>
    </row>
    <row r="52" customFormat="false" ht="15" hidden="false" customHeight="false" outlineLevel="0" collapsed="false">
      <c r="A52" s="1" t="s">
        <v>1128</v>
      </c>
      <c r="B52" s="1" t="s">
        <v>1129</v>
      </c>
    </row>
    <row r="53" customFormat="false" ht="15" hidden="false" customHeight="false" outlineLevel="0" collapsed="false">
      <c r="A53" s="1" t="s">
        <v>1130</v>
      </c>
      <c r="B53" s="1" t="s">
        <v>1131</v>
      </c>
    </row>
    <row r="54" customFormat="false" ht="15" hidden="false" customHeight="false" outlineLevel="0" collapsed="false">
      <c r="A54" s="1" t="s">
        <v>1086</v>
      </c>
      <c r="B54" s="1" t="s">
        <v>1132</v>
      </c>
    </row>
    <row r="55" customFormat="false" ht="15" hidden="false" customHeight="false" outlineLevel="0" collapsed="false">
      <c r="A55" s="1" t="s">
        <v>1133</v>
      </c>
      <c r="B55" s="1" t="s">
        <v>1134</v>
      </c>
    </row>
    <row r="56" customFormat="false" ht="15" hidden="false" customHeight="false" outlineLevel="0" collapsed="false">
      <c r="A56" s="1" t="s">
        <v>1135</v>
      </c>
      <c r="B56" s="1" t="s">
        <v>1136</v>
      </c>
    </row>
    <row r="57" customFormat="false" ht="15" hidden="false" customHeight="false" outlineLevel="0" collapsed="false">
      <c r="A57" s="1" t="s">
        <v>1137</v>
      </c>
    </row>
    <row r="58" customFormat="false" ht="15" hidden="false" customHeight="false" outlineLevel="0" collapsed="false">
      <c r="A58" s="1" t="s">
        <v>1138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3" customFormat="false" ht="15" hidden="false" customHeight="false" outlineLevel="0" collapsed="false">
      <c r="A3" s="1" t="s">
        <v>1139</v>
      </c>
    </row>
    <row r="4" customFormat="false" ht="15" hidden="false" customHeight="false" outlineLevel="0" collapsed="false">
      <c r="A4" s="1" t="s">
        <v>1140</v>
      </c>
    </row>
    <row r="5" customFormat="false" ht="15" hidden="false" customHeight="false" outlineLevel="0" collapsed="false">
      <c r="A5" s="1" t="s">
        <v>1141</v>
      </c>
    </row>
    <row r="6" customFormat="false" ht="15" hidden="false" customHeight="false" outlineLevel="0" collapsed="false">
      <c r="A6" s="1" t="s">
        <v>1142</v>
      </c>
      <c r="B6" s="1" t="s">
        <v>656</v>
      </c>
      <c r="C6" s="1" t="s">
        <v>1143</v>
      </c>
      <c r="D6" s="1" t="s">
        <v>1144</v>
      </c>
    </row>
    <row r="7" customFormat="false" ht="15" hidden="false" customHeight="false" outlineLevel="0" collapsed="false">
      <c r="A7" s="1" t="s">
        <v>1145</v>
      </c>
      <c r="B7" s="1" t="s">
        <v>1015</v>
      </c>
      <c r="C7" s="1" t="s">
        <v>1146</v>
      </c>
      <c r="D7" s="1" t="s">
        <v>1147</v>
      </c>
    </row>
    <row r="8" customFormat="false" ht="15" hidden="false" customHeight="false" outlineLevel="0" collapsed="false">
      <c r="A8" s="1" t="s">
        <v>1148</v>
      </c>
      <c r="B8" s="1" t="s">
        <v>1149</v>
      </c>
      <c r="C8" s="1" t="s">
        <v>1150</v>
      </c>
      <c r="D8" s="1" t="s">
        <v>1151</v>
      </c>
    </row>
    <row r="9" customFormat="false" ht="15" hidden="false" customHeight="false" outlineLevel="0" collapsed="false">
      <c r="A9" s="1" t="s">
        <v>1152</v>
      </c>
      <c r="B9" s="1" t="s">
        <v>1149</v>
      </c>
      <c r="C9" s="1" t="s">
        <v>850</v>
      </c>
      <c r="D9" s="1" t="s">
        <v>1153</v>
      </c>
    </row>
    <row r="10" customFormat="false" ht="15" hidden="false" customHeight="false" outlineLevel="0" collapsed="false">
      <c r="A10" s="1" t="s">
        <v>1154</v>
      </c>
      <c r="B10" s="1" t="s">
        <v>1149</v>
      </c>
      <c r="C10" s="1" t="s">
        <v>1133</v>
      </c>
      <c r="D10" s="1" t="s">
        <v>1155</v>
      </c>
    </row>
    <row r="11" customFormat="false" ht="15" hidden="false" customHeight="false" outlineLevel="0" collapsed="false">
      <c r="A11" s="1" t="s">
        <v>1156</v>
      </c>
      <c r="B11" s="1" t="s">
        <v>1157</v>
      </c>
      <c r="C11" s="1" t="s">
        <v>429</v>
      </c>
      <c r="D11" s="1" t="s">
        <v>1158</v>
      </c>
    </row>
    <row r="12" customFormat="false" ht="15" hidden="false" customHeight="false" outlineLevel="0" collapsed="false">
      <c r="A12" s="1" t="s">
        <v>1159</v>
      </c>
      <c r="B12" s="1" t="s">
        <v>1160</v>
      </c>
      <c r="C12" s="1" t="s">
        <v>1161</v>
      </c>
      <c r="D12" s="1" t="s">
        <v>1162</v>
      </c>
    </row>
    <row r="13" customFormat="false" ht="15" hidden="false" customHeight="false" outlineLevel="0" collapsed="false">
      <c r="A13" s="1" t="s">
        <v>1163</v>
      </c>
      <c r="B13" s="1" t="s">
        <v>1015</v>
      </c>
      <c r="C13" s="1" t="s">
        <v>1164</v>
      </c>
      <c r="D13" s="1" t="s">
        <v>1165</v>
      </c>
    </row>
    <row r="14" customFormat="false" ht="15" hidden="false" customHeight="false" outlineLevel="0" collapsed="false">
      <c r="A14" s="1" t="s">
        <v>1166</v>
      </c>
      <c r="B14" s="1" t="s">
        <v>1149</v>
      </c>
      <c r="C14" s="1" t="s">
        <v>1167</v>
      </c>
      <c r="D14" s="1" t="s">
        <v>1168</v>
      </c>
    </row>
    <row r="15" customFormat="false" ht="15" hidden="false" customHeight="false" outlineLevel="0" collapsed="false">
      <c r="A15" s="1" t="s">
        <v>1169</v>
      </c>
    </row>
    <row r="16" customFormat="false" ht="15" hidden="false" customHeight="false" outlineLevel="0" collapsed="false">
      <c r="A16" s="1" t="s">
        <v>1170</v>
      </c>
    </row>
    <row r="17" customFormat="false" ht="15" hidden="false" customHeight="false" outlineLevel="0" collapsed="false">
      <c r="A17" s="1" t="s">
        <v>1171</v>
      </c>
      <c r="B17" s="1" t="s">
        <v>784</v>
      </c>
      <c r="C17" s="1" t="s">
        <v>1172</v>
      </c>
      <c r="D17" s="1" t="s">
        <v>1173</v>
      </c>
      <c r="E17" s="1" t="s">
        <v>1174</v>
      </c>
      <c r="F17" s="1" t="s">
        <v>1175</v>
      </c>
    </row>
    <row r="18" customFormat="false" ht="15" hidden="false" customHeight="false" outlineLevel="0" collapsed="false">
      <c r="A18" s="1" t="n">
        <v>1</v>
      </c>
      <c r="B18" s="1" t="s">
        <v>1176</v>
      </c>
      <c r="C18" s="1" t="n">
        <f aca="false">ROUND(speedup_base_price*speedup_price_growth^(A18-1),0)</f>
        <v>10</v>
      </c>
      <c r="D18" s="1" t="n">
        <f aca="false">C18</f>
        <v>10</v>
      </c>
      <c r="E18" s="1" t="n">
        <f aca="false">D18/moonstone_per_usd</f>
        <v>0.1</v>
      </c>
      <c r="F18" s="1" t="n">
        <f aca="false">E18/A18</f>
        <v>0.1</v>
      </c>
    </row>
    <row r="19" customFormat="false" ht="15" hidden="false" customHeight="false" outlineLevel="0" collapsed="false">
      <c r="A19" s="1" t="n">
        <v>2</v>
      </c>
      <c r="B19" s="1" t="s">
        <v>1177</v>
      </c>
      <c r="C19" s="1" t="n">
        <f aca="false">ROUND(speedup_base_price*speedup_price_growth^(A19-1),0)</f>
        <v>16</v>
      </c>
      <c r="D19" s="1" t="n">
        <f aca="false">D18+C19</f>
        <v>26</v>
      </c>
      <c r="E19" s="1" t="n">
        <f aca="false">D19/moonstone_per_usd</f>
        <v>0.26</v>
      </c>
      <c r="F19" s="1" t="n">
        <f aca="false">E19/A19</f>
        <v>0.13</v>
      </c>
    </row>
    <row r="20" customFormat="false" ht="15" hidden="false" customHeight="false" outlineLevel="0" collapsed="false">
      <c r="A20" s="1" t="n">
        <v>3</v>
      </c>
      <c r="B20" s="1" t="s">
        <v>1178</v>
      </c>
      <c r="C20" s="1" t="n">
        <f aca="false">ROUND(speedup_base_price*speedup_price_growth^(A20-1),0)</f>
        <v>26</v>
      </c>
      <c r="D20" s="1" t="n">
        <f aca="false">D19+C20</f>
        <v>52</v>
      </c>
      <c r="E20" s="1" t="n">
        <f aca="false">D20/moonstone_per_usd</f>
        <v>0.52</v>
      </c>
      <c r="F20" s="1" t="n">
        <f aca="false">E20/A20</f>
        <v>0.173333333333333</v>
      </c>
    </row>
    <row r="21" customFormat="false" ht="15" hidden="false" customHeight="false" outlineLevel="0" collapsed="false">
      <c r="A21" s="1" t="n">
        <v>4</v>
      </c>
      <c r="B21" s="1" t="s">
        <v>1179</v>
      </c>
      <c r="C21" s="1" t="n">
        <f aca="false">ROUND(speedup_base_price*speedup_price_growth^(A21-1),0)</f>
        <v>41</v>
      </c>
      <c r="D21" s="1" t="n">
        <f aca="false">D20+C21</f>
        <v>93</v>
      </c>
      <c r="E21" s="1" t="n">
        <f aca="false">D21/moonstone_per_usd</f>
        <v>0.93</v>
      </c>
      <c r="F21" s="1" t="n">
        <f aca="false">E21/A21</f>
        <v>0.2325</v>
      </c>
    </row>
    <row r="22" customFormat="false" ht="15" hidden="false" customHeight="false" outlineLevel="0" collapsed="false">
      <c r="A22" s="1" t="n">
        <v>5</v>
      </c>
      <c r="B22" s="1" t="s">
        <v>1180</v>
      </c>
      <c r="C22" s="1" t="n">
        <f aca="false">ROUND(speedup_base_price*speedup_price_growth^(A22-1),0)</f>
        <v>66</v>
      </c>
      <c r="D22" s="1" t="n">
        <f aca="false">D21+C22</f>
        <v>159</v>
      </c>
      <c r="E22" s="1" t="n">
        <f aca="false">D22/moonstone_per_usd</f>
        <v>1.59</v>
      </c>
      <c r="F22" s="1" t="n">
        <f aca="false">E22/A22</f>
        <v>0.318</v>
      </c>
    </row>
    <row r="23" customFormat="false" ht="15" hidden="false" customHeight="false" outlineLevel="0" collapsed="false">
      <c r="A23" s="1" t="n">
        <v>6</v>
      </c>
      <c r="B23" s="1" t="s">
        <v>1181</v>
      </c>
      <c r="C23" s="1" t="n">
        <f aca="false">ROUND(speedup_base_price*speedup_price_growth^(A23-1),0)</f>
        <v>105</v>
      </c>
      <c r="D23" s="1" t="n">
        <f aca="false">D22+C23</f>
        <v>264</v>
      </c>
      <c r="E23" s="1" t="n">
        <f aca="false">D23/moonstone_per_usd</f>
        <v>2.64</v>
      </c>
      <c r="F23" s="1" t="n">
        <f aca="false">E23/A23</f>
        <v>0.44</v>
      </c>
    </row>
    <row r="24" customFormat="false" ht="15" hidden="false" customHeight="false" outlineLevel="0" collapsed="false">
      <c r="A24" s="1" t="s">
        <v>1182</v>
      </c>
    </row>
    <row r="25" customFormat="false" ht="15" hidden="false" customHeight="false" outlineLevel="0" collapsed="false">
      <c r="A25" s="2" t="s">
        <v>2</v>
      </c>
      <c r="B25" s="2" t="s">
        <v>143</v>
      </c>
      <c r="C25" s="2" t="s">
        <v>1183</v>
      </c>
      <c r="D25" s="2" t="s">
        <v>1184</v>
      </c>
      <c r="E25" s="2" t="s">
        <v>1185</v>
      </c>
      <c r="F25" s="2" t="s">
        <v>1186</v>
      </c>
      <c r="G25" s="2" t="s">
        <v>1187</v>
      </c>
    </row>
    <row r="26" customFormat="false" ht="15" hidden="false" customHeight="false" outlineLevel="0" collapsed="false">
      <c r="A26" s="1" t="n">
        <v>1</v>
      </c>
      <c r="B26" s="1" t="n">
        <f aca="false">Vazifalar!B7</f>
        <v>480</v>
      </c>
      <c r="C26" s="1" t="n">
        <f aca="false">ROUND(B26*speedup_daily_cap,0)</f>
        <v>120</v>
      </c>
      <c r="D26" s="1" t="n">
        <f aca="false">24*speedup_daily_cap</f>
        <v>6</v>
      </c>
      <c r="E26" s="1" t="n">
        <f aca="false">INDEX($E$18:$E$23,D26)</f>
        <v>2.64</v>
      </c>
      <c r="F26" s="1" t="n">
        <f aca="false">E26*30</f>
        <v>79.2</v>
      </c>
      <c r="G26" s="1" t="n">
        <f aca="false">1+speedup_daily_cap</f>
        <v>1.25</v>
      </c>
    </row>
    <row r="27" customFormat="false" ht="15" hidden="false" customHeight="false" outlineLevel="0" collapsed="false">
      <c r="A27" s="1" t="n">
        <v>2</v>
      </c>
      <c r="B27" s="1" t="n">
        <f aca="false">Vazifalar!B8</f>
        <v>586</v>
      </c>
      <c r="C27" s="1" t="n">
        <f aca="false">ROUND(B27*speedup_daily_cap,0)</f>
        <v>147</v>
      </c>
      <c r="D27" s="1" t="n">
        <f aca="false">24*speedup_daily_cap</f>
        <v>6</v>
      </c>
      <c r="E27" s="1" t="n">
        <f aca="false">INDEX($E$18:$E$23,D27)</f>
        <v>2.64</v>
      </c>
      <c r="F27" s="1" t="n">
        <f aca="false">E27*30</f>
        <v>79.2</v>
      </c>
      <c r="G27" s="1" t="n">
        <f aca="false">1+speedup_daily_cap</f>
        <v>1.25</v>
      </c>
    </row>
    <row r="28" customFormat="false" ht="15" hidden="false" customHeight="false" outlineLevel="0" collapsed="false">
      <c r="A28" s="1" t="n">
        <v>3</v>
      </c>
      <c r="B28" s="1" t="n">
        <f aca="false">Vazifalar!B9</f>
        <v>714</v>
      </c>
      <c r="C28" s="1" t="n">
        <f aca="false">ROUND(B28*speedup_daily_cap,0)</f>
        <v>179</v>
      </c>
      <c r="D28" s="1" t="n">
        <f aca="false">24*speedup_daily_cap</f>
        <v>6</v>
      </c>
      <c r="E28" s="1" t="n">
        <f aca="false">INDEX($E$18:$E$23,D28)</f>
        <v>2.64</v>
      </c>
      <c r="F28" s="1" t="n">
        <f aca="false">E28*30</f>
        <v>79.2</v>
      </c>
      <c r="G28" s="1" t="n">
        <f aca="false">1+speedup_daily_cap</f>
        <v>1.25</v>
      </c>
    </row>
    <row r="29" customFormat="false" ht="15" hidden="false" customHeight="false" outlineLevel="0" collapsed="false">
      <c r="A29" s="1" t="n">
        <v>4</v>
      </c>
      <c r="B29" s="1" t="n">
        <f aca="false">Vazifalar!B10</f>
        <v>872</v>
      </c>
      <c r="C29" s="1" t="n">
        <f aca="false">ROUND(B29*speedup_daily_cap,0)</f>
        <v>218</v>
      </c>
      <c r="D29" s="1" t="n">
        <f aca="false">24*speedup_daily_cap</f>
        <v>6</v>
      </c>
      <c r="E29" s="1" t="n">
        <f aca="false">INDEX($E$18:$E$23,D29)</f>
        <v>2.64</v>
      </c>
      <c r="F29" s="1" t="n">
        <f aca="false">E29*30</f>
        <v>79.2</v>
      </c>
      <c r="G29" s="1" t="n">
        <f aca="false">1+speedup_daily_cap</f>
        <v>1.25</v>
      </c>
    </row>
    <row r="30" customFormat="false" ht="15" hidden="false" customHeight="false" outlineLevel="0" collapsed="false">
      <c r="A30" s="1" t="n">
        <v>5</v>
      </c>
      <c r="B30" s="1" t="n">
        <f aca="false">Vazifalar!B11</f>
        <v>1063</v>
      </c>
      <c r="C30" s="1" t="n">
        <f aca="false">ROUND(B30*speedup_daily_cap,0)</f>
        <v>266</v>
      </c>
      <c r="D30" s="1" t="n">
        <f aca="false">24*speedup_daily_cap</f>
        <v>6</v>
      </c>
      <c r="E30" s="1" t="n">
        <f aca="false">INDEX($E$18:$E$23,D30)</f>
        <v>2.64</v>
      </c>
      <c r="F30" s="1" t="n">
        <f aca="false">E30*30</f>
        <v>79.2</v>
      </c>
      <c r="G30" s="1" t="n">
        <f aca="false">1+speedup_daily_cap</f>
        <v>1.25</v>
      </c>
    </row>
    <row r="31" customFormat="false" ht="15" hidden="false" customHeight="false" outlineLevel="0" collapsed="false">
      <c r="A31" s="1" t="n">
        <v>6</v>
      </c>
      <c r="B31" s="1" t="n">
        <f aca="false">Vazifalar!B12</f>
        <v>1297</v>
      </c>
      <c r="C31" s="1" t="n">
        <f aca="false">ROUND(B31*speedup_daily_cap,0)</f>
        <v>324</v>
      </c>
      <c r="D31" s="1" t="n">
        <f aca="false">24*speedup_daily_cap</f>
        <v>6</v>
      </c>
      <c r="E31" s="1" t="n">
        <f aca="false">INDEX($E$18:$E$23,D31)</f>
        <v>2.64</v>
      </c>
      <c r="F31" s="1" t="n">
        <f aca="false">E31*30</f>
        <v>79.2</v>
      </c>
      <c r="G31" s="1" t="n">
        <f aca="false">1+speedup_daily_cap</f>
        <v>1.25</v>
      </c>
    </row>
    <row r="32" customFormat="false" ht="15" hidden="false" customHeight="false" outlineLevel="0" collapsed="false">
      <c r="A32" s="1" t="n">
        <v>7</v>
      </c>
      <c r="B32" s="1" t="n">
        <f aca="false">Vazifalar!B13</f>
        <v>1583</v>
      </c>
      <c r="C32" s="1" t="n">
        <f aca="false">ROUND(B32*speedup_daily_cap,0)</f>
        <v>396</v>
      </c>
      <c r="D32" s="1" t="n">
        <f aca="false">24*speedup_daily_cap</f>
        <v>6</v>
      </c>
      <c r="E32" s="1" t="n">
        <f aca="false">INDEX($E$18:$E$23,D32)</f>
        <v>2.64</v>
      </c>
      <c r="F32" s="1" t="n">
        <f aca="false">E32*30</f>
        <v>79.2</v>
      </c>
      <c r="G32" s="1" t="n">
        <f aca="false">1+speedup_daily_cap</f>
        <v>1.25</v>
      </c>
    </row>
    <row r="33" customFormat="false" ht="15" hidden="false" customHeight="false" outlineLevel="0" collapsed="false">
      <c r="A33" s="1" t="n">
        <v>8</v>
      </c>
      <c r="B33" s="1" t="n">
        <f aca="false">Vazifalar!B14</f>
        <v>1931</v>
      </c>
      <c r="C33" s="1" t="n">
        <f aca="false">ROUND(B33*speedup_daily_cap,0)</f>
        <v>483</v>
      </c>
      <c r="D33" s="1" t="n">
        <f aca="false">24*speedup_daily_cap</f>
        <v>6</v>
      </c>
      <c r="E33" s="1" t="n">
        <f aca="false">INDEX($E$18:$E$23,D33)</f>
        <v>2.64</v>
      </c>
      <c r="F33" s="1" t="n">
        <f aca="false">E33*30</f>
        <v>79.2</v>
      </c>
      <c r="G33" s="1" t="n">
        <f aca="false">1+speedup_daily_cap</f>
        <v>1.25</v>
      </c>
    </row>
    <row r="34" customFormat="false" ht="15" hidden="false" customHeight="false" outlineLevel="0" collapsed="false">
      <c r="A34" s="1" t="n">
        <v>9</v>
      </c>
      <c r="B34" s="1" t="n">
        <f aca="false">Vazifalar!B15</f>
        <v>2356</v>
      </c>
      <c r="C34" s="1" t="n">
        <f aca="false">ROUND(B34*speedup_daily_cap,0)</f>
        <v>589</v>
      </c>
      <c r="D34" s="1" t="n">
        <f aca="false">24*speedup_daily_cap</f>
        <v>6</v>
      </c>
      <c r="E34" s="1" t="n">
        <f aca="false">INDEX($E$18:$E$23,D34)</f>
        <v>2.64</v>
      </c>
      <c r="F34" s="1" t="n">
        <f aca="false">E34*30</f>
        <v>79.2</v>
      </c>
      <c r="G34" s="1" t="n">
        <f aca="false">1+speedup_daily_cap</f>
        <v>1.25</v>
      </c>
    </row>
    <row r="35" customFormat="false" ht="15" hidden="false" customHeight="false" outlineLevel="0" collapsed="false">
      <c r="A35" s="1" t="n">
        <v>10</v>
      </c>
      <c r="B35" s="1" t="n">
        <f aca="false">Vazifalar!B16</f>
        <v>2874</v>
      </c>
      <c r="C35" s="1" t="n">
        <f aca="false">ROUND(B35*speedup_daily_cap,0)</f>
        <v>719</v>
      </c>
      <c r="D35" s="1" t="n">
        <f aca="false">24*speedup_daily_cap</f>
        <v>6</v>
      </c>
      <c r="E35" s="1" t="n">
        <f aca="false">INDEX($E$18:$E$23,D35)</f>
        <v>2.64</v>
      </c>
      <c r="F35" s="1" t="n">
        <f aca="false">E35*30</f>
        <v>79.2</v>
      </c>
      <c r="G35" s="1" t="n">
        <f aca="false">1+speedup_daily_cap</f>
        <v>1.25</v>
      </c>
    </row>
    <row r="36" customFormat="false" ht="15" hidden="false" customHeight="false" outlineLevel="0" collapsed="false">
      <c r="A36" s="1" t="n">
        <v>11</v>
      </c>
      <c r="B36" s="1" t="n">
        <f aca="false">Vazifalar!B17</f>
        <v>3506</v>
      </c>
      <c r="C36" s="1" t="n">
        <f aca="false">ROUND(B36*speedup_daily_cap,0)</f>
        <v>877</v>
      </c>
      <c r="D36" s="1" t="n">
        <f aca="false">24*speedup_daily_cap</f>
        <v>6</v>
      </c>
      <c r="E36" s="1" t="n">
        <f aca="false">INDEX($E$18:$E$23,D36)</f>
        <v>2.64</v>
      </c>
      <c r="F36" s="1" t="n">
        <f aca="false">E36*30</f>
        <v>79.2</v>
      </c>
      <c r="G36" s="1" t="n">
        <f aca="false">1+speedup_daily_cap</f>
        <v>1.25</v>
      </c>
    </row>
    <row r="37" customFormat="false" ht="15" hidden="false" customHeight="false" outlineLevel="0" collapsed="false">
      <c r="A37" s="1" t="n">
        <v>12</v>
      </c>
      <c r="B37" s="1" t="n">
        <f aca="false">Vazifalar!B18</f>
        <v>4278</v>
      </c>
      <c r="C37" s="1" t="n">
        <f aca="false">ROUND(B37*speedup_daily_cap,0)</f>
        <v>1070</v>
      </c>
      <c r="D37" s="1" t="n">
        <f aca="false">24*speedup_daily_cap</f>
        <v>6</v>
      </c>
      <c r="E37" s="1" t="n">
        <f aca="false">INDEX($E$18:$E$23,D37)</f>
        <v>2.64</v>
      </c>
      <c r="F37" s="1" t="n">
        <f aca="false">E37*30</f>
        <v>79.2</v>
      </c>
      <c r="G37" s="1" t="n">
        <f aca="false">1+speedup_daily_cap</f>
        <v>1.25</v>
      </c>
    </row>
    <row r="38" customFormat="false" ht="15" hidden="false" customHeight="false" outlineLevel="0" collapsed="false">
      <c r="A38" s="1" t="n">
        <v>13</v>
      </c>
      <c r="B38" s="1" t="n">
        <f aca="false">Vazifalar!B19</f>
        <v>5219</v>
      </c>
      <c r="C38" s="1" t="n">
        <f aca="false">ROUND(B38*speedup_daily_cap,0)</f>
        <v>1305</v>
      </c>
      <c r="D38" s="1" t="n">
        <f aca="false">24*speedup_daily_cap</f>
        <v>6</v>
      </c>
      <c r="E38" s="1" t="n">
        <f aca="false">INDEX($E$18:$E$23,D38)</f>
        <v>2.64</v>
      </c>
      <c r="F38" s="1" t="n">
        <f aca="false">E38*30</f>
        <v>79.2</v>
      </c>
      <c r="G38" s="1" t="n">
        <f aca="false">1+speedup_daily_cap</f>
        <v>1.25</v>
      </c>
    </row>
    <row r="39" customFormat="false" ht="15" hidden="false" customHeight="false" outlineLevel="0" collapsed="false">
      <c r="A39" s="1" t="n">
        <v>14</v>
      </c>
      <c r="B39" s="1" t="n">
        <f aca="false">Vazifalar!B20</f>
        <v>6367</v>
      </c>
      <c r="C39" s="1" t="n">
        <f aca="false">ROUND(B39*speedup_daily_cap,0)</f>
        <v>1592</v>
      </c>
      <c r="D39" s="1" t="n">
        <f aca="false">24*speedup_daily_cap</f>
        <v>6</v>
      </c>
      <c r="E39" s="1" t="n">
        <f aca="false">INDEX($E$18:$E$23,D39)</f>
        <v>2.64</v>
      </c>
      <c r="F39" s="1" t="n">
        <f aca="false">E39*30</f>
        <v>79.2</v>
      </c>
      <c r="G39" s="1" t="n">
        <f aca="false">1+speedup_daily_cap</f>
        <v>1.25</v>
      </c>
    </row>
    <row r="40" customFormat="false" ht="15" hidden="false" customHeight="false" outlineLevel="0" collapsed="false">
      <c r="A40" s="1" t="n">
        <v>15</v>
      </c>
      <c r="B40" s="1" t="n">
        <f aca="false">Vazifalar!B21</f>
        <v>7767</v>
      </c>
      <c r="C40" s="1" t="n">
        <f aca="false">ROUND(B40*speedup_daily_cap,0)</f>
        <v>1942</v>
      </c>
      <c r="D40" s="1" t="n">
        <f aca="false">24*speedup_daily_cap</f>
        <v>6</v>
      </c>
      <c r="E40" s="1" t="n">
        <f aca="false">INDEX($E$18:$E$23,D40)</f>
        <v>2.64</v>
      </c>
      <c r="F40" s="1" t="n">
        <f aca="false">E40*30</f>
        <v>79.2</v>
      </c>
      <c r="G40" s="1" t="n">
        <f aca="false">1+speedup_daily_cap</f>
        <v>1.25</v>
      </c>
    </row>
    <row r="41" customFormat="false" ht="15" hidden="false" customHeight="false" outlineLevel="0" collapsed="false">
      <c r="A41" s="1" t="n">
        <v>16</v>
      </c>
      <c r="B41" s="1" t="n">
        <f aca="false">Vazifalar!B22</f>
        <v>9476</v>
      </c>
      <c r="C41" s="1" t="n">
        <f aca="false">ROUND(B41*speedup_daily_cap,0)</f>
        <v>2369</v>
      </c>
      <c r="D41" s="1" t="n">
        <f aca="false">24*speedup_daily_cap</f>
        <v>6</v>
      </c>
      <c r="E41" s="1" t="n">
        <f aca="false">INDEX($E$18:$E$23,D41)</f>
        <v>2.64</v>
      </c>
      <c r="F41" s="1" t="n">
        <f aca="false">E41*30</f>
        <v>79.2</v>
      </c>
      <c r="G41" s="1" t="n">
        <f aca="false">1+speedup_daily_cap</f>
        <v>1.25</v>
      </c>
    </row>
    <row r="42" customFormat="false" ht="15" hidden="false" customHeight="false" outlineLevel="0" collapsed="false">
      <c r="A42" s="1" t="n">
        <v>17</v>
      </c>
      <c r="B42" s="1" t="n">
        <f aca="false">Vazifalar!B23</f>
        <v>11561</v>
      </c>
      <c r="C42" s="1" t="n">
        <f aca="false">ROUND(B42*speedup_daily_cap,0)</f>
        <v>2890</v>
      </c>
      <c r="D42" s="1" t="n">
        <f aca="false">24*speedup_daily_cap</f>
        <v>6</v>
      </c>
      <c r="E42" s="1" t="n">
        <f aca="false">INDEX($E$18:$E$23,D42)</f>
        <v>2.64</v>
      </c>
      <c r="F42" s="1" t="n">
        <f aca="false">E42*30</f>
        <v>79.2</v>
      </c>
      <c r="G42" s="1" t="n">
        <f aca="false">1+speedup_daily_cap</f>
        <v>1.25</v>
      </c>
    </row>
    <row r="43" customFormat="false" ht="15" hidden="false" customHeight="false" outlineLevel="0" collapsed="false">
      <c r="A43" s="1" t="n">
        <v>18</v>
      </c>
      <c r="B43" s="1" t="n">
        <f aca="false">Vazifalar!B24</f>
        <v>14105</v>
      </c>
      <c r="C43" s="1" t="n">
        <f aca="false">ROUND(B43*speedup_daily_cap,0)</f>
        <v>3526</v>
      </c>
      <c r="D43" s="1" t="n">
        <f aca="false">24*speedup_daily_cap</f>
        <v>6</v>
      </c>
      <c r="E43" s="1" t="n">
        <f aca="false">INDEX($E$18:$E$23,D43)</f>
        <v>2.64</v>
      </c>
      <c r="F43" s="1" t="n">
        <f aca="false">E43*30</f>
        <v>79.2</v>
      </c>
      <c r="G43" s="1" t="n">
        <f aca="false">1+speedup_daily_cap</f>
        <v>1.25</v>
      </c>
    </row>
    <row r="44" customFormat="false" ht="15" hidden="false" customHeight="false" outlineLevel="0" collapsed="false">
      <c r="A44" s="1" t="n">
        <v>19</v>
      </c>
      <c r="B44" s="1" t="n">
        <f aca="false">Vazifalar!B25</f>
        <v>17208</v>
      </c>
      <c r="C44" s="1" t="n">
        <f aca="false">ROUND(B44*speedup_daily_cap,0)</f>
        <v>4302</v>
      </c>
      <c r="D44" s="1" t="n">
        <f aca="false">24*speedup_daily_cap</f>
        <v>6</v>
      </c>
      <c r="E44" s="1" t="n">
        <f aca="false">INDEX($E$18:$E$23,D44)</f>
        <v>2.64</v>
      </c>
      <c r="F44" s="1" t="n">
        <f aca="false">E44*30</f>
        <v>79.2</v>
      </c>
      <c r="G44" s="1" t="n">
        <f aca="false">1+speedup_daily_cap</f>
        <v>1.25</v>
      </c>
    </row>
    <row r="45" customFormat="false" ht="15" hidden="false" customHeight="false" outlineLevel="0" collapsed="false">
      <c r="A45" s="1" t="n">
        <v>20</v>
      </c>
      <c r="B45" s="1" t="n">
        <f aca="false">Vazifalar!B26</f>
        <v>20993</v>
      </c>
      <c r="C45" s="1" t="n">
        <f aca="false">ROUND(B45*speedup_daily_cap,0)</f>
        <v>5248</v>
      </c>
      <c r="D45" s="1" t="n">
        <f aca="false">24*speedup_daily_cap</f>
        <v>6</v>
      </c>
      <c r="E45" s="1" t="n">
        <f aca="false">INDEX($E$18:$E$23,D45)</f>
        <v>2.64</v>
      </c>
      <c r="F45" s="1" t="n">
        <f aca="false">E45*30</f>
        <v>79.2</v>
      </c>
      <c r="G45" s="1" t="n">
        <f aca="false">1+speedup_daily_cap</f>
        <v>1.25</v>
      </c>
    </row>
    <row r="46" customFormat="false" ht="15" hidden="false" customHeight="false" outlineLevel="0" collapsed="false">
      <c r="A46" s="1" t="n">
        <v>21</v>
      </c>
      <c r="B46" s="1" t="n">
        <f aca="false">Vazifalar!B27</f>
        <v>25612</v>
      </c>
      <c r="C46" s="1" t="n">
        <f aca="false">ROUND(B46*speedup_daily_cap,0)</f>
        <v>6403</v>
      </c>
      <c r="D46" s="1" t="n">
        <f aca="false">24*speedup_daily_cap</f>
        <v>6</v>
      </c>
      <c r="E46" s="1" t="n">
        <f aca="false">INDEX($E$18:$E$23,D46)</f>
        <v>2.64</v>
      </c>
      <c r="F46" s="1" t="n">
        <f aca="false">E46*30</f>
        <v>79.2</v>
      </c>
      <c r="G46" s="1" t="n">
        <f aca="false">1+speedup_daily_cap</f>
        <v>1.25</v>
      </c>
    </row>
    <row r="47" customFormat="false" ht="15" hidden="false" customHeight="false" outlineLevel="0" collapsed="false">
      <c r="A47" s="1" t="n">
        <v>22</v>
      </c>
      <c r="B47" s="1" t="n">
        <f aca="false">Vazifalar!B28</f>
        <v>31246</v>
      </c>
      <c r="C47" s="1" t="n">
        <f aca="false">ROUND(B47*speedup_daily_cap,0)</f>
        <v>7812</v>
      </c>
      <c r="D47" s="1" t="n">
        <f aca="false">24*speedup_daily_cap</f>
        <v>6</v>
      </c>
      <c r="E47" s="1" t="n">
        <f aca="false">INDEX($E$18:$E$23,D47)</f>
        <v>2.64</v>
      </c>
      <c r="F47" s="1" t="n">
        <f aca="false">E47*30</f>
        <v>79.2</v>
      </c>
      <c r="G47" s="1" t="n">
        <f aca="false">1+speedup_daily_cap</f>
        <v>1.25</v>
      </c>
    </row>
    <row r="48" customFormat="false" ht="15" hidden="false" customHeight="false" outlineLevel="0" collapsed="false">
      <c r="A48" s="1" t="n">
        <v>23</v>
      </c>
      <c r="B48" s="1" t="n">
        <f aca="false">Vazifalar!B29</f>
        <v>38120</v>
      </c>
      <c r="C48" s="1" t="n">
        <f aca="false">ROUND(B48*speedup_daily_cap,0)</f>
        <v>9530</v>
      </c>
      <c r="D48" s="1" t="n">
        <f aca="false">24*speedup_daily_cap</f>
        <v>6</v>
      </c>
      <c r="E48" s="1" t="n">
        <f aca="false">INDEX($E$18:$E$23,D48)</f>
        <v>2.64</v>
      </c>
      <c r="F48" s="1" t="n">
        <f aca="false">E48*30</f>
        <v>79.2</v>
      </c>
      <c r="G48" s="1" t="n">
        <f aca="false">1+speedup_daily_cap</f>
        <v>1.25</v>
      </c>
    </row>
    <row r="49" customFormat="false" ht="15" hidden="false" customHeight="false" outlineLevel="0" collapsed="false">
      <c r="A49" s="1" t="n">
        <v>24</v>
      </c>
      <c r="B49" s="1" t="n">
        <f aca="false">Vazifalar!B30</f>
        <v>46507</v>
      </c>
      <c r="C49" s="1" t="n">
        <f aca="false">ROUND(B49*speedup_daily_cap,0)</f>
        <v>11627</v>
      </c>
      <c r="D49" s="1" t="n">
        <f aca="false">24*speedup_daily_cap</f>
        <v>6</v>
      </c>
      <c r="E49" s="1" t="n">
        <f aca="false">INDEX($E$18:$E$23,D49)</f>
        <v>2.64</v>
      </c>
      <c r="F49" s="1" t="n">
        <f aca="false">E49*30</f>
        <v>79.2</v>
      </c>
      <c r="G49" s="1" t="n">
        <f aca="false">1+speedup_daily_cap</f>
        <v>1.25</v>
      </c>
    </row>
    <row r="50" customFormat="false" ht="15" hidden="false" customHeight="false" outlineLevel="0" collapsed="false">
      <c r="A50" s="1" t="n">
        <v>25</v>
      </c>
      <c r="B50" s="1" t="n">
        <f aca="false">Vazifalar!B31</f>
        <v>56738</v>
      </c>
      <c r="C50" s="1" t="n">
        <f aca="false">ROUND(B50*speedup_daily_cap,0)</f>
        <v>14185</v>
      </c>
      <c r="D50" s="1" t="n">
        <f aca="false">24*speedup_daily_cap</f>
        <v>6</v>
      </c>
      <c r="E50" s="1" t="n">
        <f aca="false">INDEX($E$18:$E$23,D50)</f>
        <v>2.64</v>
      </c>
      <c r="F50" s="1" t="n">
        <f aca="false">E50*30</f>
        <v>79.2</v>
      </c>
      <c r="G50" s="1" t="n">
        <f aca="false">1+speedup_daily_cap</f>
        <v>1.25</v>
      </c>
    </row>
    <row r="51" customFormat="false" ht="15" hidden="false" customHeight="false" outlineLevel="0" collapsed="false">
      <c r="A51" s="1" t="s">
        <v>1188</v>
      </c>
      <c r="B51" s="1"/>
      <c r="C51" s="1"/>
      <c r="D51" s="1" t="s">
        <v>1189</v>
      </c>
    </row>
    <row r="52" customFormat="false" ht="15" hidden="false" customHeight="false" outlineLevel="0" collapsed="false">
      <c r="A52" s="1" t="s">
        <v>1190</v>
      </c>
      <c r="B52" s="1" t="s">
        <v>1191</v>
      </c>
      <c r="C52" s="1" t="s">
        <v>1192</v>
      </c>
      <c r="D52" s="1" t="s">
        <v>1193</v>
      </c>
      <c r="E52" s="1" t="str">
        <f aca="false">price_second_queue&amp;" oy toshi"</f>
        <v>1500 oy toshi</v>
      </c>
      <c r="F52" s="1" t="s">
        <v>1194</v>
      </c>
    </row>
    <row r="53" customFormat="false" ht="15" hidden="false" customHeight="false" outlineLevel="0" collapsed="false">
      <c r="A53" s="1" t="s">
        <v>1195</v>
      </c>
      <c r="B53" s="3" t="n">
        <v>100</v>
      </c>
      <c r="C53" s="3" t="n">
        <v>1</v>
      </c>
      <c r="D53" s="1" t="s">
        <v>1196</v>
      </c>
      <c r="E53" s="1" t="str">
        <f aca="false">price_season_pass&amp;" oy toshi / mavsum"</f>
        <v>500 oy toshi / mavsum</v>
      </c>
      <c r="F53" s="1" t="s">
        <v>1197</v>
      </c>
    </row>
    <row r="54" customFormat="false" ht="15" hidden="false" customHeight="false" outlineLevel="0" collapsed="false">
      <c r="A54" s="1" t="s">
        <v>1198</v>
      </c>
      <c r="B54" s="3" t="n">
        <v>550</v>
      </c>
      <c r="C54" s="3" t="n">
        <v>5</v>
      </c>
      <c r="D54" s="1" t="s">
        <v>1152</v>
      </c>
      <c r="E54" s="1" t="s">
        <v>1199</v>
      </c>
      <c r="F54" s="1" t="s">
        <v>1200</v>
      </c>
    </row>
    <row r="55" customFormat="false" ht="15" hidden="false" customHeight="false" outlineLevel="0" collapsed="false">
      <c r="A55" s="1" t="s">
        <v>1201</v>
      </c>
      <c r="B55" s="3" t="n">
        <v>1200</v>
      </c>
      <c r="C55" s="3" t="n">
        <v>10</v>
      </c>
      <c r="D55" s="1" t="s">
        <v>1154</v>
      </c>
      <c r="E55" s="1" t="s">
        <v>1202</v>
      </c>
      <c r="F55" s="1" t="s">
        <v>1203</v>
      </c>
    </row>
    <row r="56" customFormat="false" ht="15" hidden="false" customHeight="false" outlineLevel="0" collapsed="false">
      <c r="A56" s="1" t="s">
        <v>1051</v>
      </c>
      <c r="B56" s="3" t="n">
        <v>3300</v>
      </c>
      <c r="C56" s="3" t="n">
        <v>25</v>
      </c>
      <c r="D56" s="1" t="s">
        <v>1204</v>
      </c>
      <c r="E56" s="1" t="s">
        <v>1205</v>
      </c>
      <c r="F56" s="1" t="s">
        <v>1206</v>
      </c>
    </row>
    <row r="57" customFormat="false" ht="15" hidden="false" customHeight="false" outlineLevel="0" collapsed="false">
      <c r="A57" s="1" t="s">
        <v>1207</v>
      </c>
    </row>
    <row r="58" customFormat="false" ht="15" hidden="false" customHeight="false" outlineLevel="0" collapsed="false">
      <c r="A58" s="1" t="s">
        <v>1208</v>
      </c>
      <c r="B58" s="1" t="s">
        <v>1209</v>
      </c>
    </row>
    <row r="59" customFormat="false" ht="15" hidden="false" customHeight="false" outlineLevel="0" collapsed="false">
      <c r="A59" s="1" t="s">
        <v>1210</v>
      </c>
      <c r="B59" s="1" t="s">
        <v>1211</v>
      </c>
    </row>
    <row r="60" customFormat="false" ht="15" hidden="false" customHeight="false" outlineLevel="0" collapsed="false">
      <c r="A60" s="1" t="s">
        <v>1212</v>
      </c>
      <c r="B60" s="1" t="s">
        <v>1213</v>
      </c>
    </row>
    <row r="61" customFormat="false" ht="15" hidden="false" customHeight="false" outlineLevel="0" collapsed="false">
      <c r="A61" s="1" t="s">
        <v>1214</v>
      </c>
      <c r="B61" s="1" t="s">
        <v>1215</v>
      </c>
    </row>
    <row r="62" customFormat="false" ht="15" hidden="false" customHeight="false" outlineLevel="0" collapsed="false">
      <c r="A62" s="1" t="s">
        <v>1216</v>
      </c>
      <c r="B62" s="1" t="s">
        <v>1217</v>
      </c>
    </row>
    <row r="63" customFormat="false" ht="15" hidden="false" customHeight="false" outlineLevel="0" collapsed="false">
      <c r="A63" s="1" t="s">
        <v>1218</v>
      </c>
      <c r="B63" s="1" t="s">
        <v>1219</v>
      </c>
    </row>
    <row r="64" customFormat="false" ht="15" hidden="false" customHeight="false" outlineLevel="0" collapsed="false">
      <c r="A64" s="1" t="s">
        <v>1220</v>
      </c>
      <c r="B64" s="1" t="s">
        <v>1221</v>
      </c>
    </row>
    <row r="65" customFormat="false" ht="15" hidden="false" customHeight="false" outlineLevel="0" collapsed="false">
      <c r="A65" s="1" t="s">
        <v>1222</v>
      </c>
      <c r="B65" s="1" t="s">
        <v>1223</v>
      </c>
    </row>
    <row r="66" customFormat="false" ht="15" hidden="false" customHeight="false" outlineLevel="0" collapsed="false">
      <c r="A66" s="1" t="s">
        <v>1224</v>
      </c>
      <c r="B66" s="1" t="s">
        <v>1225</v>
      </c>
    </row>
    <row r="67" customFormat="false" ht="15" hidden="false" customHeight="false" outlineLevel="0" collapsed="false">
      <c r="A67" s="1" t="s">
        <v>1226</v>
      </c>
      <c r="B67" s="1" t="s">
        <v>1227</v>
      </c>
    </row>
    <row r="68" customFormat="false" ht="15" hidden="false" customHeight="false" outlineLevel="0" collapsed="false">
      <c r="A68" s="1" t="s">
        <v>1228</v>
      </c>
    </row>
    <row r="69" customFormat="false" ht="15" hidden="false" customHeight="false" outlineLevel="0" collapsed="false">
      <c r="A69" s="1" t="s">
        <v>1229</v>
      </c>
    </row>
    <row r="70" customFormat="false" ht="15" hidden="false" customHeight="false" outlineLevel="0" collapsed="false">
      <c r="A70" s="1" t="s">
        <v>1230</v>
      </c>
    </row>
    <row r="71" customFormat="false" ht="15" hidden="false" customHeight="false" outlineLevel="0" collapsed="false">
      <c r="A71" s="1" t="s">
        <v>1231</v>
      </c>
    </row>
    <row r="72" customFormat="false" ht="15" hidden="false" customHeight="false" outlineLevel="0" collapsed="false">
      <c r="A72" s="1" t="s">
        <v>901</v>
      </c>
      <c r="B72" s="1" t="s">
        <v>1232</v>
      </c>
      <c r="C72" s="1" t="s">
        <v>1233</v>
      </c>
      <c r="D72" s="1" t="s">
        <v>1234</v>
      </c>
      <c r="E72" s="1" t="s">
        <v>1192</v>
      </c>
      <c r="F72" s="1" t="s">
        <v>1235</v>
      </c>
    </row>
    <row r="73" customFormat="false" ht="15" hidden="false" customHeight="false" outlineLevel="0" collapsed="false">
      <c r="A73" s="3" t="n">
        <v>5</v>
      </c>
      <c r="B73" s="1" t="n">
        <f aca="false">A73/march_speed*60</f>
        <v>15</v>
      </c>
      <c r="C73" s="1" t="n">
        <f aca="false">B73/60</f>
        <v>0.25</v>
      </c>
      <c r="D73" s="1" t="n">
        <f aca="true">ROUNDUP(return_price_coef*SUM(OFFSET($C$18,0,0,ROUNDUP(C73,0),1)),0)</f>
        <v>6</v>
      </c>
      <c r="E73" s="1" t="n">
        <f aca="false">D73/moonstone_per_usd</f>
        <v>0.06</v>
      </c>
      <c r="F73" s="1" t="n">
        <f aca="false">C73</f>
        <v>0.25</v>
      </c>
    </row>
    <row r="74" customFormat="false" ht="15" hidden="false" customHeight="false" outlineLevel="0" collapsed="false">
      <c r="A74" s="3" t="n">
        <v>15</v>
      </c>
      <c r="B74" s="1" t="n">
        <f aca="false">A74/march_speed*60</f>
        <v>45</v>
      </c>
      <c r="C74" s="1" t="n">
        <f aca="false">B74/60</f>
        <v>0.75</v>
      </c>
      <c r="D74" s="1" t="n">
        <f aca="true">ROUNDUP(return_price_coef*SUM(OFFSET($C$18,0,0,ROUNDUP(C74,0),1)),0)</f>
        <v>6</v>
      </c>
      <c r="E74" s="1" t="n">
        <f aca="false">D74/moonstone_per_usd</f>
        <v>0.06</v>
      </c>
      <c r="F74" s="1" t="n">
        <f aca="false">C74</f>
        <v>0.75</v>
      </c>
    </row>
    <row r="75" customFormat="false" ht="15" hidden="false" customHeight="false" outlineLevel="0" collapsed="false">
      <c r="A75" s="3" t="n">
        <v>30</v>
      </c>
      <c r="B75" s="1" t="n">
        <f aca="false">A75/march_speed*60</f>
        <v>90</v>
      </c>
      <c r="C75" s="1" t="n">
        <f aca="false">B75/60</f>
        <v>1.5</v>
      </c>
      <c r="D75" s="1" t="n">
        <f aca="true">ROUNDUP(return_price_coef*SUM(OFFSET($C$18,0,0,ROUNDUP(C75,0),1)),0)</f>
        <v>16</v>
      </c>
      <c r="E75" s="1" t="n">
        <f aca="false">D75/moonstone_per_usd</f>
        <v>0.16</v>
      </c>
      <c r="F75" s="1" t="n">
        <f aca="false">C75</f>
        <v>1.5</v>
      </c>
    </row>
    <row r="76" customFormat="false" ht="15" hidden="false" customHeight="false" outlineLevel="0" collapsed="false">
      <c r="A76" s="3" t="n">
        <v>60</v>
      </c>
      <c r="B76" s="1" t="n">
        <f aca="false">A76/march_speed*60</f>
        <v>180</v>
      </c>
      <c r="C76" s="1" t="n">
        <f aca="false">B76/60</f>
        <v>3</v>
      </c>
      <c r="D76" s="1" t="n">
        <f aca="true">ROUNDUP(return_price_coef*SUM(OFFSET($C$18,0,0,ROUNDUP(C76,0),1)),0)</f>
        <v>32</v>
      </c>
      <c r="E76" s="1" t="n">
        <f aca="false">D76/moonstone_per_usd</f>
        <v>0.32</v>
      </c>
      <c r="F76" s="1" t="n">
        <f aca="false">C76</f>
        <v>3</v>
      </c>
    </row>
    <row r="77" customFormat="false" ht="15" hidden="false" customHeight="false" outlineLevel="0" collapsed="false">
      <c r="A77" s="3" t="n">
        <v>100</v>
      </c>
      <c r="B77" s="1" t="n">
        <f aca="false">A77/march_speed*60</f>
        <v>300</v>
      </c>
      <c r="C77" s="1" t="n">
        <f aca="false">B77/60</f>
        <v>5</v>
      </c>
      <c r="D77" s="1" t="n">
        <f aca="true">ROUNDUP(return_price_coef*SUM(OFFSET($C$18,0,0,ROUNDUP(C77,0),1)),0)</f>
        <v>96</v>
      </c>
      <c r="E77" s="1" t="n">
        <f aca="false">D77/moonstone_per_usd</f>
        <v>0.96</v>
      </c>
      <c r="F77" s="1" t="n">
        <f aca="false">C77</f>
        <v>5</v>
      </c>
    </row>
    <row r="78" customFormat="false" ht="15" hidden="false" customHeight="false" outlineLevel="0" collapsed="false">
      <c r="A78" s="1" t="s">
        <v>1236</v>
      </c>
    </row>
    <row r="79" customFormat="false" ht="15" hidden="false" customHeight="false" outlineLevel="0" collapsed="false">
      <c r="A79" s="1" t="s">
        <v>1237</v>
      </c>
      <c r="B79" s="1" t="s">
        <v>1238</v>
      </c>
    </row>
    <row r="80" customFormat="false" ht="15" hidden="false" customHeight="false" outlineLevel="0" collapsed="false">
      <c r="A80" s="1" t="s">
        <v>1239</v>
      </c>
      <c r="B80" s="1" t="s">
        <v>1240</v>
      </c>
    </row>
    <row r="81" customFormat="false" ht="15" hidden="false" customHeight="false" outlineLevel="0" collapsed="false">
      <c r="A81" s="1" t="s">
        <v>1241</v>
      </c>
      <c r="B81" s="1" t="s">
        <v>1242</v>
      </c>
    </row>
    <row r="82" customFormat="false" ht="15" hidden="false" customHeight="false" outlineLevel="0" collapsed="false">
      <c r="A82" s="1" t="s">
        <v>1208</v>
      </c>
      <c r="B82" s="1" t="s">
        <v>1243</v>
      </c>
    </row>
    <row r="83" customFormat="false" ht="15" hidden="false" customHeight="false" outlineLevel="0" collapsed="false">
      <c r="A83" s="1" t="s">
        <v>1244</v>
      </c>
      <c r="B83" s="1" t="s">
        <v>1245</v>
      </c>
    </row>
    <row r="84" customFormat="false" ht="15" hidden="false" customHeight="false" outlineLevel="0" collapsed="false">
      <c r="A84" s="1" t="s">
        <v>1246</v>
      </c>
      <c r="B84" s="1" t="s">
        <v>1247</v>
      </c>
    </row>
    <row r="85" customFormat="false" ht="15" hidden="false" customHeight="false" outlineLevel="0" collapsed="false">
      <c r="A85" s="1" t="s">
        <v>1248</v>
      </c>
      <c r="B85" s="1" t="s">
        <v>1249</v>
      </c>
    </row>
    <row r="86" customFormat="false" ht="15" hidden="false" customHeight="false" outlineLevel="0" collapsed="false">
      <c r="A86" s="1" t="s">
        <v>1250</v>
      </c>
      <c r="B86" s="1" t="s">
        <v>1251</v>
      </c>
    </row>
    <row r="87" customFormat="false" ht="15" hidden="false" customHeight="false" outlineLevel="0" collapsed="false">
      <c r="A87" s="1" t="s">
        <v>1252</v>
      </c>
    </row>
    <row r="88" customFormat="false" ht="15" hidden="false" customHeight="false" outlineLevel="0" collapsed="false">
      <c r="A88" s="1" t="s">
        <v>1253</v>
      </c>
      <c r="B88" s="1" t="s">
        <v>1254</v>
      </c>
      <c r="C88" s="1" t="s">
        <v>1144</v>
      </c>
    </row>
    <row r="89" customFormat="false" ht="15" hidden="false" customHeight="false" outlineLevel="0" collapsed="false">
      <c r="A89" s="1" t="s">
        <v>1255</v>
      </c>
      <c r="B89" s="1" t="s">
        <v>1256</v>
      </c>
      <c r="C89" s="1" t="s">
        <v>1257</v>
      </c>
    </row>
    <row r="90" customFormat="false" ht="15" hidden="false" customHeight="false" outlineLevel="0" collapsed="false">
      <c r="A90" s="1" t="s">
        <v>1258</v>
      </c>
      <c r="B90" s="1" t="s">
        <v>1256</v>
      </c>
      <c r="C90" s="1" t="s">
        <v>1259</v>
      </c>
    </row>
    <row r="91" customFormat="false" ht="15" hidden="false" customHeight="false" outlineLevel="0" collapsed="false">
      <c r="A91" s="1" t="s">
        <v>1260</v>
      </c>
      <c r="B91" s="1" t="s">
        <v>1256</v>
      </c>
      <c r="C91" s="1" t="s">
        <v>1261</v>
      </c>
    </row>
    <row r="92" customFormat="false" ht="15" hidden="false" customHeight="false" outlineLevel="0" collapsed="false">
      <c r="A92" s="1" t="s">
        <v>1262</v>
      </c>
      <c r="B92" s="1" t="s">
        <v>1263</v>
      </c>
      <c r="C92" s="1" t="s">
        <v>1264</v>
      </c>
    </row>
    <row r="93" customFormat="false" ht="15" hidden="false" customHeight="false" outlineLevel="0" collapsed="false">
      <c r="A93" s="1" t="s">
        <v>1265</v>
      </c>
      <c r="B93" s="1" t="s">
        <v>1256</v>
      </c>
      <c r="C93" s="1" t="s">
        <v>1266</v>
      </c>
    </row>
    <row r="94" customFormat="false" ht="15" hidden="false" customHeight="false" outlineLevel="0" collapsed="false">
      <c r="A94" s="1" t="s">
        <v>1267</v>
      </c>
      <c r="B94" s="1" t="s">
        <v>1256</v>
      </c>
      <c r="C94" s="1" t="s">
        <v>1268</v>
      </c>
    </row>
    <row r="95" customFormat="false" ht="15" hidden="false" customHeight="false" outlineLevel="0" collapsed="false">
      <c r="A95" s="1" t="s">
        <v>1269</v>
      </c>
    </row>
    <row r="96" customFormat="false" ht="15" hidden="false" customHeight="false" outlineLevel="0" collapsed="false">
      <c r="A96" s="1" t="s">
        <v>579</v>
      </c>
      <c r="B96" s="1" t="s">
        <v>1270</v>
      </c>
      <c r="C96" s="1" t="s">
        <v>560</v>
      </c>
    </row>
    <row r="97" customFormat="false" ht="15" hidden="false" customHeight="false" outlineLevel="0" collapsed="false">
      <c r="A97" s="1" t="s">
        <v>1271</v>
      </c>
      <c r="B97" s="1" t="n">
        <f aca="false">vacation_delay_h</f>
        <v>12</v>
      </c>
      <c r="C97" s="1" t="s">
        <v>1272</v>
      </c>
    </row>
    <row r="98" customFormat="false" ht="15" hidden="false" customHeight="false" outlineLevel="0" collapsed="false">
      <c r="A98" s="1" t="s">
        <v>1273</v>
      </c>
      <c r="B98" s="1" t="n">
        <f aca="false">vacation_min_h</f>
        <v>24</v>
      </c>
      <c r="C98" s="1" t="s">
        <v>1274</v>
      </c>
    </row>
    <row r="99" customFormat="false" ht="15" hidden="false" customHeight="false" outlineLevel="0" collapsed="false">
      <c r="A99" s="1" t="s">
        <v>1275</v>
      </c>
      <c r="B99" s="1" t="n">
        <f aca="false">vacation_max_h</f>
        <v>168</v>
      </c>
      <c r="C99" s="1" t="s">
        <v>1276</v>
      </c>
    </row>
    <row r="100" customFormat="false" ht="15" hidden="false" customHeight="false" outlineLevel="0" collapsed="false">
      <c r="A100" s="1" t="s">
        <v>1277</v>
      </c>
      <c r="B100" s="1" t="n">
        <f aca="false">vacation_free_h</f>
        <v>48</v>
      </c>
      <c r="C100" s="1" t="s">
        <v>1278</v>
      </c>
    </row>
    <row r="101" customFormat="false" ht="15" hidden="false" customHeight="false" outlineLevel="0" collapsed="false">
      <c r="A101" s="1" t="s">
        <v>1279</v>
      </c>
      <c r="B101" s="1" t="n">
        <f aca="false">vacation_price_day</f>
        <v>250</v>
      </c>
      <c r="C101" s="1" t="s">
        <v>1280</v>
      </c>
    </row>
    <row r="102" customFormat="false" ht="15" hidden="false" customHeight="false" outlineLevel="0" collapsed="false">
      <c r="A102" s="1" t="s">
        <v>1281</v>
      </c>
    </row>
    <row r="103" customFormat="false" ht="15" hidden="false" customHeight="false" outlineLevel="0" collapsed="false">
      <c r="A103" s="1" t="s">
        <v>1282</v>
      </c>
      <c r="B103" s="1" t="s">
        <v>1283</v>
      </c>
    </row>
    <row r="104" customFormat="false" ht="15" hidden="false" customHeight="false" outlineLevel="0" collapsed="false">
      <c r="A104" s="1" t="s">
        <v>1284</v>
      </c>
      <c r="B104" s="1" t="s">
        <v>1285</v>
      </c>
    </row>
    <row r="105" customFormat="false" ht="15" hidden="false" customHeight="false" outlineLevel="0" collapsed="false">
      <c r="A105" s="1" t="s">
        <v>1286</v>
      </c>
      <c r="B105" s="1" t="s">
        <v>1287</v>
      </c>
    </row>
    <row r="106" customFormat="false" ht="15" hidden="false" customHeight="false" outlineLevel="0" collapsed="false">
      <c r="A106" s="1" t="s">
        <v>1288</v>
      </c>
      <c r="B106" s="1" t="s">
        <v>1289</v>
      </c>
    </row>
    <row r="107" customFormat="false" ht="15" hidden="false" customHeight="false" outlineLevel="0" collapsed="false">
      <c r="A107" s="1" t="s">
        <v>1290</v>
      </c>
      <c r="B107" s="1" t="s">
        <v>1291</v>
      </c>
    </row>
    <row r="108" customFormat="false" ht="15" hidden="false" customHeight="false" outlineLevel="0" collapsed="false">
      <c r="A108" s="1" t="s">
        <v>1292</v>
      </c>
      <c r="B108" s="1" t="s">
        <v>1293</v>
      </c>
    </row>
    <row r="109" customFormat="false" ht="15" hidden="false" customHeight="false" outlineLevel="0" collapsed="false">
      <c r="A109" s="1" t="s">
        <v>1294</v>
      </c>
      <c r="B109" s="1" t="s">
        <v>1295</v>
      </c>
    </row>
    <row r="110" customFormat="false" ht="15" hidden="false" customHeight="false" outlineLevel="0" collapsed="false">
      <c r="A110" s="1" t="s">
        <v>1296</v>
      </c>
      <c r="B110" s="1" t="s">
        <v>1297</v>
      </c>
    </row>
    <row r="111" customFormat="false" ht="15" hidden="false" customHeight="false" outlineLevel="0" collapsed="false">
      <c r="A111" s="1" t="s">
        <v>1298</v>
      </c>
    </row>
    <row r="112" customFormat="false" ht="15" hidden="false" customHeight="false" outlineLevel="0" collapsed="false">
      <c r="A112" s="1" t="s">
        <v>1299</v>
      </c>
    </row>
    <row r="113" customFormat="false" ht="15" hidden="false" customHeight="false" outlineLevel="0" collapsed="false">
      <c r="A113" s="1" t="s">
        <v>1300</v>
      </c>
    </row>
    <row r="114" customFormat="false" ht="15" hidden="false" customHeight="false" outlineLevel="0" collapsed="false">
      <c r="A114" s="1" t="s">
        <v>1301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3" customFormat="false" ht="15" hidden="false" customHeight="false" outlineLevel="0" collapsed="false">
      <c r="A3" s="1" t="s">
        <v>1302</v>
      </c>
    </row>
    <row r="4" customFormat="false" ht="15" hidden="false" customHeight="false" outlineLevel="0" collapsed="false">
      <c r="A4" s="1" t="s">
        <v>1303</v>
      </c>
    </row>
    <row r="5" customFormat="false" ht="15" hidden="false" customHeight="false" outlineLevel="0" collapsed="false">
      <c r="A5" s="2" t="s">
        <v>2</v>
      </c>
      <c r="B5" s="2" t="s">
        <v>3</v>
      </c>
      <c r="C5" s="2" t="s">
        <v>1304</v>
      </c>
      <c r="D5" s="2" t="s">
        <v>18</v>
      </c>
      <c r="E5" s="2" t="s">
        <v>407</v>
      </c>
    </row>
    <row r="6" customFormat="false" ht="15" hidden="false" customHeight="false" outlineLevel="0" collapsed="false">
      <c r="A6" s="1" t="n">
        <v>1</v>
      </c>
      <c r="B6" s="1" t="s">
        <v>19</v>
      </c>
      <c r="C6" s="1" t="s">
        <v>1305</v>
      </c>
      <c r="D6" s="1" t="s">
        <v>1306</v>
      </c>
      <c r="E6" s="1" t="s">
        <v>1307</v>
      </c>
    </row>
    <row r="7" customFormat="false" ht="15" hidden="false" customHeight="false" outlineLevel="0" collapsed="false">
      <c r="A7" s="1" t="n">
        <v>1</v>
      </c>
      <c r="B7" s="1" t="s">
        <v>19</v>
      </c>
      <c r="C7" s="1" t="s">
        <v>1308</v>
      </c>
      <c r="D7" s="1" t="s">
        <v>1309</v>
      </c>
      <c r="E7" s="1" t="s">
        <v>1310</v>
      </c>
    </row>
    <row r="8" customFormat="false" ht="15" hidden="false" customHeight="false" outlineLevel="0" collapsed="false">
      <c r="A8" s="1" t="n">
        <v>2</v>
      </c>
      <c r="B8" s="1" t="s">
        <v>23</v>
      </c>
      <c r="C8" s="1" t="s">
        <v>1308</v>
      </c>
      <c r="D8" s="1" t="s">
        <v>25</v>
      </c>
      <c r="E8" s="1" t="s">
        <v>1311</v>
      </c>
    </row>
    <row r="9" customFormat="false" ht="15" hidden="false" customHeight="false" outlineLevel="0" collapsed="false">
      <c r="A9" s="1" t="n">
        <v>3</v>
      </c>
      <c r="B9" s="1" t="s">
        <v>26</v>
      </c>
      <c r="C9" s="1" t="s">
        <v>1305</v>
      </c>
      <c r="D9" s="1" t="s">
        <v>28</v>
      </c>
      <c r="E9" s="1" t="s">
        <v>1312</v>
      </c>
    </row>
    <row r="10" customFormat="false" ht="15" hidden="false" customHeight="false" outlineLevel="0" collapsed="false">
      <c r="A10" s="1" t="n">
        <v>4</v>
      </c>
      <c r="B10" s="1" t="s">
        <v>29</v>
      </c>
      <c r="C10" s="1" t="s">
        <v>1313</v>
      </c>
      <c r="D10" s="1" t="s">
        <v>1314</v>
      </c>
      <c r="E10" s="1" t="s">
        <v>1315</v>
      </c>
    </row>
    <row r="11" customFormat="false" ht="15" hidden="false" customHeight="false" outlineLevel="0" collapsed="false">
      <c r="A11" s="1" t="n">
        <v>4</v>
      </c>
      <c r="B11" s="1" t="s">
        <v>29</v>
      </c>
      <c r="C11" s="1" t="s">
        <v>1316</v>
      </c>
      <c r="D11" s="1" t="s">
        <v>1317</v>
      </c>
      <c r="E11" s="1" t="s">
        <v>1318</v>
      </c>
    </row>
    <row r="12" customFormat="false" ht="15" hidden="false" customHeight="false" outlineLevel="0" collapsed="false">
      <c r="A12" s="1" t="n">
        <v>4</v>
      </c>
      <c r="B12" s="1" t="s">
        <v>29</v>
      </c>
      <c r="C12" s="1" t="s">
        <v>1319</v>
      </c>
      <c r="D12" s="1" t="s">
        <v>1320</v>
      </c>
      <c r="E12" s="1" t="s">
        <v>1321</v>
      </c>
    </row>
    <row r="13" customFormat="false" ht="15" hidden="false" customHeight="false" outlineLevel="0" collapsed="false">
      <c r="A13" s="1" t="n">
        <v>5</v>
      </c>
      <c r="B13" s="1" t="s">
        <v>32</v>
      </c>
      <c r="C13" s="1" t="s">
        <v>1305</v>
      </c>
      <c r="D13" s="1" t="s">
        <v>1322</v>
      </c>
      <c r="E13" s="1" t="s">
        <v>1323</v>
      </c>
    </row>
    <row r="14" customFormat="false" ht="15" hidden="false" customHeight="false" outlineLevel="0" collapsed="false">
      <c r="A14" s="1" t="n">
        <v>6</v>
      </c>
      <c r="B14" s="1" t="s">
        <v>35</v>
      </c>
      <c r="C14" s="1" t="s">
        <v>1308</v>
      </c>
      <c r="D14" s="1" t="s">
        <v>37</v>
      </c>
      <c r="E14" s="1" t="s">
        <v>1324</v>
      </c>
    </row>
    <row r="15" customFormat="false" ht="15" hidden="false" customHeight="false" outlineLevel="0" collapsed="false">
      <c r="A15" s="1" t="n">
        <v>7</v>
      </c>
      <c r="B15" s="1" t="s">
        <v>38</v>
      </c>
      <c r="C15" s="1" t="s">
        <v>1316</v>
      </c>
      <c r="D15" s="1" t="s">
        <v>40</v>
      </c>
      <c r="E15" s="1" t="s">
        <v>1325</v>
      </c>
    </row>
    <row r="16" customFormat="false" ht="15" hidden="false" customHeight="false" outlineLevel="0" collapsed="false">
      <c r="A16" s="1" t="n">
        <v>8</v>
      </c>
      <c r="B16" s="1" t="s">
        <v>41</v>
      </c>
      <c r="C16" s="1" t="s">
        <v>1316</v>
      </c>
      <c r="D16" s="1" t="s">
        <v>43</v>
      </c>
      <c r="E16" s="1" t="s">
        <v>1326</v>
      </c>
    </row>
    <row r="17" customFormat="false" ht="15" hidden="false" customHeight="false" outlineLevel="0" collapsed="false">
      <c r="A17" s="1" t="n">
        <v>9</v>
      </c>
      <c r="B17" s="1" t="s">
        <v>44</v>
      </c>
      <c r="C17" s="1" t="s">
        <v>1308</v>
      </c>
      <c r="D17" s="1" t="s">
        <v>46</v>
      </c>
      <c r="E17" s="1" t="s">
        <v>1327</v>
      </c>
    </row>
    <row r="18" customFormat="false" ht="15" hidden="false" customHeight="false" outlineLevel="0" collapsed="false">
      <c r="A18" s="1" t="n">
        <v>10</v>
      </c>
      <c r="B18" s="1" t="s">
        <v>47</v>
      </c>
      <c r="C18" s="1" t="s">
        <v>1308</v>
      </c>
      <c r="D18" s="1" t="s">
        <v>49</v>
      </c>
      <c r="E18" s="1" t="s">
        <v>1328</v>
      </c>
    </row>
    <row r="19" customFormat="false" ht="15" hidden="false" customHeight="false" outlineLevel="0" collapsed="false">
      <c r="A19" s="1" t="n">
        <v>11</v>
      </c>
      <c r="B19" s="1" t="s">
        <v>50</v>
      </c>
      <c r="C19" s="1" t="s">
        <v>1313</v>
      </c>
      <c r="D19" s="1" t="s">
        <v>52</v>
      </c>
      <c r="E19" s="1" t="s">
        <v>1329</v>
      </c>
    </row>
    <row r="20" customFormat="false" ht="15" hidden="false" customHeight="false" outlineLevel="0" collapsed="false">
      <c r="A20" s="1" t="n">
        <v>12</v>
      </c>
      <c r="B20" s="1" t="s">
        <v>53</v>
      </c>
      <c r="C20" s="1" t="s">
        <v>1319</v>
      </c>
      <c r="D20" s="1" t="s">
        <v>55</v>
      </c>
      <c r="E20" s="1" t="s">
        <v>1330</v>
      </c>
    </row>
    <row r="21" customFormat="false" ht="15" hidden="false" customHeight="false" outlineLevel="0" collapsed="false">
      <c r="A21" s="1" t="n">
        <v>13</v>
      </c>
      <c r="B21" s="1" t="s">
        <v>56</v>
      </c>
      <c r="C21" s="1" t="s">
        <v>1316</v>
      </c>
      <c r="D21" s="1" t="s">
        <v>58</v>
      </c>
      <c r="E21" s="1" t="s">
        <v>1331</v>
      </c>
    </row>
    <row r="22" customFormat="false" ht="15" hidden="false" customHeight="false" outlineLevel="0" collapsed="false">
      <c r="A22" s="1" t="n">
        <v>14</v>
      </c>
      <c r="B22" s="1" t="s">
        <v>59</v>
      </c>
      <c r="C22" s="1" t="s">
        <v>1316</v>
      </c>
      <c r="D22" s="1" t="s">
        <v>61</v>
      </c>
      <c r="E22" s="1" t="s">
        <v>1332</v>
      </c>
    </row>
    <row r="23" customFormat="false" ht="15" hidden="false" customHeight="false" outlineLevel="0" collapsed="false">
      <c r="A23" s="1" t="n">
        <v>15</v>
      </c>
      <c r="B23" s="1" t="s">
        <v>62</v>
      </c>
      <c r="C23" s="1" t="s">
        <v>1313</v>
      </c>
      <c r="D23" s="1" t="s">
        <v>1333</v>
      </c>
      <c r="E23" s="1" t="s">
        <v>1334</v>
      </c>
    </row>
    <row r="24" customFormat="false" ht="15" hidden="false" customHeight="false" outlineLevel="0" collapsed="false">
      <c r="A24" s="1" t="n">
        <v>16</v>
      </c>
      <c r="B24" s="1" t="s">
        <v>65</v>
      </c>
      <c r="C24" s="1" t="s">
        <v>1316</v>
      </c>
      <c r="D24" s="1" t="s">
        <v>67</v>
      </c>
      <c r="E24" s="1" t="s">
        <v>1335</v>
      </c>
    </row>
    <row r="25" customFormat="false" ht="15" hidden="false" customHeight="false" outlineLevel="0" collapsed="false">
      <c r="A25" s="1" t="n">
        <v>17</v>
      </c>
      <c r="B25" s="1" t="s">
        <v>68</v>
      </c>
      <c r="C25" s="1" t="s">
        <v>1319</v>
      </c>
      <c r="D25" s="1" t="s">
        <v>70</v>
      </c>
      <c r="E25" s="1" t="s">
        <v>1336</v>
      </c>
    </row>
    <row r="26" customFormat="false" ht="15" hidden="false" customHeight="false" outlineLevel="0" collapsed="false">
      <c r="A26" s="1" t="n">
        <v>18</v>
      </c>
      <c r="B26" s="1" t="s">
        <v>71</v>
      </c>
      <c r="C26" s="1" t="s">
        <v>1316</v>
      </c>
      <c r="D26" s="1" t="s">
        <v>73</v>
      </c>
      <c r="E26" s="1" t="s">
        <v>1337</v>
      </c>
    </row>
    <row r="27" customFormat="false" ht="15" hidden="false" customHeight="false" outlineLevel="0" collapsed="false">
      <c r="A27" s="1" t="n">
        <v>19</v>
      </c>
      <c r="B27" s="1" t="s">
        <v>74</v>
      </c>
      <c r="C27" s="1" t="s">
        <v>1319</v>
      </c>
      <c r="D27" s="1" t="s">
        <v>1338</v>
      </c>
      <c r="E27" s="1" t="s">
        <v>1339</v>
      </c>
    </row>
    <row r="28" customFormat="false" ht="15" hidden="false" customHeight="false" outlineLevel="0" collapsed="false">
      <c r="A28" s="1" t="n">
        <v>20</v>
      </c>
      <c r="B28" s="1" t="s">
        <v>77</v>
      </c>
      <c r="C28" s="1" t="s">
        <v>1308</v>
      </c>
      <c r="D28" s="1" t="s">
        <v>80</v>
      </c>
      <c r="E28" s="1" t="s">
        <v>1340</v>
      </c>
    </row>
    <row r="29" customFormat="false" ht="15" hidden="false" customHeight="false" outlineLevel="0" collapsed="false">
      <c r="A29" s="1" t="n">
        <v>21</v>
      </c>
      <c r="B29" s="1" t="s">
        <v>81</v>
      </c>
      <c r="C29" s="1" t="s">
        <v>1316</v>
      </c>
      <c r="D29" s="1" t="s">
        <v>83</v>
      </c>
      <c r="E29" s="1" t="s">
        <v>1341</v>
      </c>
    </row>
    <row r="30" customFormat="false" ht="15" hidden="false" customHeight="false" outlineLevel="0" collapsed="false">
      <c r="A30" s="1" t="n">
        <v>22</v>
      </c>
      <c r="B30" s="1" t="s">
        <v>84</v>
      </c>
      <c r="C30" s="1" t="s">
        <v>1316</v>
      </c>
      <c r="D30" s="1" t="s">
        <v>87</v>
      </c>
      <c r="E30" s="1" t="s">
        <v>1342</v>
      </c>
    </row>
    <row r="31" customFormat="false" ht="15" hidden="false" customHeight="false" outlineLevel="0" collapsed="false">
      <c r="A31" s="1" t="n">
        <v>23</v>
      </c>
      <c r="B31" s="1" t="s">
        <v>88</v>
      </c>
      <c r="C31" s="1" t="s">
        <v>1313</v>
      </c>
      <c r="D31" s="1" t="s">
        <v>90</v>
      </c>
      <c r="E31" s="1" t="s">
        <v>1343</v>
      </c>
    </row>
    <row r="32" customFormat="false" ht="15" hidden="false" customHeight="false" outlineLevel="0" collapsed="false">
      <c r="A32" s="1" t="n">
        <v>24</v>
      </c>
      <c r="B32" s="1" t="s">
        <v>91</v>
      </c>
      <c r="C32" s="1" t="s">
        <v>1316</v>
      </c>
      <c r="D32" s="1" t="s">
        <v>92</v>
      </c>
      <c r="E32" s="1" t="s">
        <v>1344</v>
      </c>
    </row>
    <row r="33" customFormat="false" ht="15" hidden="false" customHeight="false" outlineLevel="0" collapsed="false">
      <c r="A33" s="1" t="n">
        <v>25</v>
      </c>
      <c r="B33" s="1" t="s">
        <v>93</v>
      </c>
      <c r="C33" s="1" t="s">
        <v>1319</v>
      </c>
      <c r="D33" s="1" t="s">
        <v>1345</v>
      </c>
      <c r="E33" s="1" t="s">
        <v>1346</v>
      </c>
    </row>
    <row r="34" customFormat="false" ht="15" hidden="false" customHeight="false" outlineLevel="0" collapsed="false">
      <c r="A34" s="1"/>
      <c r="B34" s="1"/>
      <c r="C34" s="1"/>
      <c r="D34" s="1"/>
      <c r="E34" s="1"/>
    </row>
    <row r="35" customFormat="false" ht="15" hidden="false" customHeight="false" outlineLevel="0" collapsed="false">
      <c r="A35" s="1"/>
      <c r="B35" s="1"/>
      <c r="C35" s="1"/>
      <c r="D35" s="1"/>
      <c r="E35" s="1"/>
    </row>
    <row r="36" customFormat="false" ht="15" hidden="false" customHeight="false" outlineLevel="0" collapsed="false">
      <c r="A36" s="1"/>
      <c r="B36" s="1"/>
      <c r="C36" s="1"/>
      <c r="D36" s="1"/>
      <c r="E36" s="1"/>
    </row>
    <row r="37" customFormat="false" ht="15" hidden="false" customHeight="false" outlineLevel="0" collapsed="false">
      <c r="A37" s="1"/>
      <c r="B37" s="1"/>
      <c r="C37" s="1"/>
      <c r="D37" s="1"/>
      <c r="E37" s="1"/>
    </row>
    <row r="38" customFormat="false" ht="15" hidden="false" customHeight="false" outlineLevel="0" collapsed="false">
      <c r="A38" s="1" t="s">
        <v>1347</v>
      </c>
    </row>
    <row r="39" customFormat="false" ht="15" hidden="false" customHeight="false" outlineLevel="0" collapsed="false">
      <c r="A39" s="1" t="s">
        <v>1348</v>
      </c>
    </row>
    <row r="40" customFormat="false" ht="15" hidden="false" customHeight="false" outlineLevel="0" collapsed="false">
      <c r="A40" s="1" t="s">
        <v>1349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3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6"/>
  </cols>
  <sheetData>
    <row r="3" customFormat="false" ht="15" hidden="false" customHeight="false" outlineLevel="0" collapsed="false">
      <c r="A3" s="1" t="s">
        <v>1350</v>
      </c>
    </row>
    <row r="4" customFormat="false" ht="15" hidden="false" customHeight="false" outlineLevel="0" collapsed="false">
      <c r="A4" s="1" t="s">
        <v>1351</v>
      </c>
    </row>
    <row r="5" customFormat="false" ht="15" hidden="false" customHeight="false" outlineLevel="0" collapsed="false">
      <c r="A5" s="1" t="s">
        <v>1352</v>
      </c>
    </row>
    <row r="6" customFormat="false" ht="15" hidden="false" customHeight="false" outlineLevel="0" collapsed="false">
      <c r="A6" s="1" t="s">
        <v>1353</v>
      </c>
      <c r="B6" s="3" t="n">
        <v>80</v>
      </c>
      <c r="C6" s="1" t="s">
        <v>657</v>
      </c>
      <c r="D6" s="1" t="s">
        <v>1354</v>
      </c>
    </row>
    <row r="7" customFormat="false" ht="15" hidden="false" customHeight="false" outlineLevel="0" collapsed="false">
      <c r="A7" s="1" t="s">
        <v>1355</v>
      </c>
      <c r="B7" s="3" t="n">
        <v>1.38</v>
      </c>
      <c r="C7" s="1" t="s">
        <v>1356</v>
      </c>
      <c r="D7" s="1" t="s">
        <v>1357</v>
      </c>
    </row>
    <row r="8" customFormat="false" ht="15" hidden="false" customHeight="false" outlineLevel="0" collapsed="false">
      <c r="A8" s="1" t="s">
        <v>1358</v>
      </c>
    </row>
    <row r="9" customFormat="false" ht="15" hidden="false" customHeight="false" outlineLevel="0" collapsed="false">
      <c r="A9" s="1" t="s">
        <v>1359</v>
      </c>
      <c r="B9" s="3" t="n">
        <v>12</v>
      </c>
      <c r="C9" s="1" t="s">
        <v>1360</v>
      </c>
      <c r="D9" s="1" t="s">
        <v>1361</v>
      </c>
    </row>
    <row r="10" customFormat="false" ht="15" hidden="false" customHeight="false" outlineLevel="0" collapsed="false">
      <c r="A10" s="1" t="s">
        <v>1362</v>
      </c>
      <c r="B10" s="3" t="n">
        <v>1.2</v>
      </c>
      <c r="C10" s="1" t="s">
        <v>1356</v>
      </c>
      <c r="D10" s="1" t="s">
        <v>1363</v>
      </c>
    </row>
    <row r="11" customFormat="false" ht="15" hidden="false" customHeight="false" outlineLevel="0" collapsed="false">
      <c r="A11" s="1" t="s">
        <v>1364</v>
      </c>
      <c r="B11" s="3" t="n">
        <v>10</v>
      </c>
      <c r="C11" s="1" t="s">
        <v>1360</v>
      </c>
      <c r="D11" s="1" t="s">
        <v>1365</v>
      </c>
    </row>
    <row r="12" customFormat="false" ht="15" hidden="false" customHeight="false" outlineLevel="0" collapsed="false">
      <c r="A12" s="1" t="s">
        <v>1366</v>
      </c>
      <c r="B12" s="3" t="n">
        <v>1.13</v>
      </c>
      <c r="C12" s="1" t="s">
        <v>1356</v>
      </c>
      <c r="D12" s="1" t="s">
        <v>1363</v>
      </c>
    </row>
    <row r="13" customFormat="false" ht="15" hidden="false" customHeight="false" outlineLevel="0" collapsed="false">
      <c r="A13" s="1" t="s">
        <v>1367</v>
      </c>
      <c r="B13" s="3" t="n">
        <v>60</v>
      </c>
      <c r="C13" s="1" t="s">
        <v>1368</v>
      </c>
      <c r="D13" s="1" t="s">
        <v>1369</v>
      </c>
    </row>
    <row r="14" customFormat="false" ht="15" hidden="false" customHeight="false" outlineLevel="0" collapsed="false">
      <c r="A14" s="1" t="s">
        <v>1370</v>
      </c>
      <c r="B14" s="3" t="n">
        <v>1.18</v>
      </c>
      <c r="C14" s="1" t="s">
        <v>1356</v>
      </c>
      <c r="D14" s="1" t="s">
        <v>1363</v>
      </c>
    </row>
    <row r="15" customFormat="false" ht="15" hidden="false" customHeight="false" outlineLevel="0" collapsed="false">
      <c r="A15" s="1" t="s">
        <v>1371</v>
      </c>
    </row>
    <row r="16" customFormat="false" ht="15" hidden="false" customHeight="false" outlineLevel="0" collapsed="false">
      <c r="A16" s="1" t="s">
        <v>1372</v>
      </c>
      <c r="B16" s="3" t="n">
        <v>1</v>
      </c>
      <c r="C16" s="1" t="s">
        <v>1356</v>
      </c>
      <c r="D16" s="1" t="s">
        <v>1373</v>
      </c>
    </row>
    <row r="17" customFormat="false" ht="15" hidden="false" customHeight="false" outlineLevel="0" collapsed="false">
      <c r="A17" s="1" t="s">
        <v>1374</v>
      </c>
      <c r="B17" s="3" t="n">
        <v>1.35</v>
      </c>
      <c r="C17" s="1" t="s">
        <v>1356</v>
      </c>
      <c r="D17" s="1" t="s">
        <v>1375</v>
      </c>
    </row>
    <row r="18" customFormat="false" ht="15" hidden="false" customHeight="false" outlineLevel="0" collapsed="false">
      <c r="A18" s="1" t="s">
        <v>1376</v>
      </c>
      <c r="B18" s="3" t="n">
        <v>1.8</v>
      </c>
      <c r="C18" s="1" t="s">
        <v>1356</v>
      </c>
      <c r="D18" s="1" t="s">
        <v>1377</v>
      </c>
    </row>
    <row r="19" customFormat="false" ht="15" hidden="false" customHeight="false" outlineLevel="0" collapsed="false">
      <c r="A19" s="1" t="s">
        <v>1378</v>
      </c>
    </row>
    <row r="20" customFormat="false" ht="15" hidden="false" customHeight="false" outlineLevel="0" collapsed="false">
      <c r="A20" s="1" t="s">
        <v>1379</v>
      </c>
      <c r="B20" s="3" t="n">
        <v>4</v>
      </c>
      <c r="C20" s="1" t="s">
        <v>1380</v>
      </c>
      <c r="D20" s="1" t="s">
        <v>1381</v>
      </c>
    </row>
    <row r="21" customFormat="false" ht="15" hidden="false" customHeight="false" outlineLevel="0" collapsed="false">
      <c r="A21" s="1" t="s">
        <v>1382</v>
      </c>
    </row>
    <row r="22" customFormat="false" ht="15" hidden="false" customHeight="false" outlineLevel="0" collapsed="false">
      <c r="A22" s="1" t="s">
        <v>1383</v>
      </c>
      <c r="B22" s="3" t="n">
        <v>0.4</v>
      </c>
      <c r="C22" s="1" t="s">
        <v>1356</v>
      </c>
      <c r="D22" s="1" t="s">
        <v>1384</v>
      </c>
    </row>
    <row r="23" customFormat="false" ht="15" hidden="false" customHeight="false" outlineLevel="0" collapsed="false">
      <c r="A23" s="1" t="s">
        <v>1385</v>
      </c>
      <c r="B23" s="3" t="n">
        <v>0.7</v>
      </c>
      <c r="C23" s="1" t="s">
        <v>1356</v>
      </c>
      <c r="D23" s="1" t="s">
        <v>1386</v>
      </c>
    </row>
    <row r="24" customFormat="false" ht="15" hidden="false" customHeight="false" outlineLevel="0" collapsed="false">
      <c r="A24" s="1" t="s">
        <v>1387</v>
      </c>
      <c r="B24" s="3" t="n">
        <v>10</v>
      </c>
      <c r="C24" s="1" t="s">
        <v>1380</v>
      </c>
      <c r="D24" s="1" t="s">
        <v>1388</v>
      </c>
    </row>
    <row r="25" customFormat="false" ht="15" hidden="false" customHeight="false" outlineLevel="0" collapsed="false">
      <c r="A25" s="1" t="s">
        <v>1389</v>
      </c>
      <c r="B25" s="3" t="n">
        <v>1</v>
      </c>
      <c r="C25" s="1" t="s">
        <v>1356</v>
      </c>
      <c r="D25" s="1" t="s">
        <v>1390</v>
      </c>
    </row>
    <row r="26" customFormat="false" ht="15" hidden="false" customHeight="false" outlineLevel="0" collapsed="false">
      <c r="A26" s="1" t="s">
        <v>1391</v>
      </c>
      <c r="B26" s="3" t="n">
        <v>1.25</v>
      </c>
      <c r="C26" s="1" t="s">
        <v>1356</v>
      </c>
      <c r="D26" s="1" t="s">
        <v>1392</v>
      </c>
    </row>
    <row r="27" customFormat="false" ht="15" hidden="false" customHeight="false" outlineLevel="0" collapsed="false">
      <c r="A27" s="1" t="s">
        <v>1393</v>
      </c>
      <c r="B27" s="3" t="n">
        <v>15</v>
      </c>
      <c r="C27" s="1" t="s">
        <v>1380</v>
      </c>
      <c r="D27" s="1" t="s">
        <v>1394</v>
      </c>
    </row>
    <row r="28" customFormat="false" ht="15" hidden="false" customHeight="false" outlineLevel="0" collapsed="false">
      <c r="A28" s="1" t="s">
        <v>1395</v>
      </c>
    </row>
    <row r="29" customFormat="false" ht="15" hidden="false" customHeight="false" outlineLevel="0" collapsed="false">
      <c r="A29" s="1" t="s">
        <v>1396</v>
      </c>
      <c r="B29" s="3" t="n">
        <v>5</v>
      </c>
      <c r="C29" s="1" t="s">
        <v>1380</v>
      </c>
      <c r="D29" s="1" t="s">
        <v>1397</v>
      </c>
    </row>
    <row r="30" customFormat="false" ht="15" hidden="false" customHeight="false" outlineLevel="0" collapsed="false">
      <c r="A30" s="1" t="s">
        <v>1398</v>
      </c>
      <c r="B30" s="3" t="n">
        <v>15</v>
      </c>
      <c r="C30" s="1" t="s">
        <v>1399</v>
      </c>
      <c r="D30" s="1" t="s">
        <v>1400</v>
      </c>
    </row>
    <row r="31" customFormat="false" ht="15" hidden="false" customHeight="false" outlineLevel="0" collapsed="false">
      <c r="A31" s="1" t="s">
        <v>1401</v>
      </c>
      <c r="B31" s="3" t="n">
        <v>5</v>
      </c>
      <c r="C31" s="1" t="s">
        <v>1402</v>
      </c>
      <c r="D31" s="1" t="s">
        <v>1403</v>
      </c>
    </row>
    <row r="32" customFormat="false" ht="15" hidden="false" customHeight="false" outlineLevel="0" collapsed="false">
      <c r="A32" s="1" t="s">
        <v>1404</v>
      </c>
      <c r="B32" s="3" t="n">
        <v>12</v>
      </c>
      <c r="C32" s="1" t="s">
        <v>1405</v>
      </c>
      <c r="D32" s="1" t="s">
        <v>1406</v>
      </c>
    </row>
    <row r="33" customFormat="false" ht="15" hidden="false" customHeight="false" outlineLevel="0" collapsed="false">
      <c r="A33" s="1" t="s">
        <v>1407</v>
      </c>
    </row>
    <row r="34" customFormat="false" ht="15" hidden="false" customHeight="false" outlineLevel="0" collapsed="false">
      <c r="A34" s="1" t="s">
        <v>1408</v>
      </c>
      <c r="B34" s="3" t="n">
        <v>4</v>
      </c>
      <c r="C34" s="1" t="s">
        <v>1409</v>
      </c>
      <c r="D34" s="1" t="s">
        <v>1410</v>
      </c>
    </row>
    <row r="35" customFormat="false" ht="15" hidden="false" customHeight="false" outlineLevel="0" collapsed="false">
      <c r="A35" s="1" t="s">
        <v>1411</v>
      </c>
      <c r="B35" s="3" t="n">
        <v>4</v>
      </c>
      <c r="C35" s="1" t="s">
        <v>1409</v>
      </c>
      <c r="D35" s="1" t="s">
        <v>1412</v>
      </c>
    </row>
    <row r="36" customFormat="false" ht="15" hidden="false" customHeight="false" outlineLevel="0" collapsed="false">
      <c r="A36" s="1" t="s">
        <v>1413</v>
      </c>
      <c r="B36" s="3" t="n">
        <v>0.15</v>
      </c>
      <c r="C36" s="1" t="s">
        <v>1414</v>
      </c>
      <c r="D36" s="1" t="s">
        <v>1415</v>
      </c>
    </row>
    <row r="37" customFormat="false" ht="15" hidden="false" customHeight="false" outlineLevel="0" collapsed="false">
      <c r="A37" s="1" t="s">
        <v>1416</v>
      </c>
      <c r="B37" s="3" t="n">
        <v>0.4</v>
      </c>
      <c r="C37" s="1" t="s">
        <v>1414</v>
      </c>
      <c r="D37" s="1" t="s">
        <v>1417</v>
      </c>
    </row>
    <row r="38" customFormat="false" ht="15" hidden="false" customHeight="false" outlineLevel="0" collapsed="false">
      <c r="A38" s="1" t="s">
        <v>1418</v>
      </c>
      <c r="B38" s="3" t="n">
        <v>0.5</v>
      </c>
      <c r="C38" s="1" t="s">
        <v>1414</v>
      </c>
      <c r="D38" s="1" t="s">
        <v>1419</v>
      </c>
    </row>
    <row r="39" customFormat="false" ht="15" hidden="false" customHeight="false" outlineLevel="0" collapsed="false">
      <c r="A39" s="1" t="s">
        <v>1420</v>
      </c>
      <c r="B39" s="3" t="n">
        <v>10</v>
      </c>
      <c r="C39" s="1" t="s">
        <v>1399</v>
      </c>
      <c r="D39" s="1" t="s">
        <v>1421</v>
      </c>
    </row>
    <row r="40" customFormat="false" ht="15" hidden="false" customHeight="false" outlineLevel="0" collapsed="false">
      <c r="A40" s="1" t="s">
        <v>1422</v>
      </c>
      <c r="B40" s="3" t="n">
        <v>0.6</v>
      </c>
      <c r="C40" s="1" t="s">
        <v>1414</v>
      </c>
      <c r="D40" s="1" t="s">
        <v>1423</v>
      </c>
    </row>
    <row r="41" customFormat="false" ht="15" hidden="false" customHeight="false" outlineLevel="0" collapsed="false">
      <c r="A41" s="1" t="s">
        <v>1424</v>
      </c>
    </row>
    <row r="42" customFormat="false" ht="15" hidden="false" customHeight="false" outlineLevel="0" collapsed="false">
      <c r="A42" s="1" t="s">
        <v>1425</v>
      </c>
      <c r="B42" s="3" t="n">
        <v>20</v>
      </c>
      <c r="C42" s="1" t="s">
        <v>1426</v>
      </c>
      <c r="D42" s="1" t="s">
        <v>1427</v>
      </c>
    </row>
    <row r="43" customFormat="false" ht="15" hidden="false" customHeight="false" outlineLevel="0" collapsed="false">
      <c r="A43" s="1" t="s">
        <v>1428</v>
      </c>
      <c r="B43" s="3" t="n">
        <v>8</v>
      </c>
      <c r="C43" s="1" t="s">
        <v>1429</v>
      </c>
      <c r="D43" s="1" t="s">
        <v>1427</v>
      </c>
    </row>
    <row r="44" customFormat="false" ht="15" hidden="false" customHeight="false" outlineLevel="0" collapsed="false">
      <c r="A44" s="1" t="s">
        <v>1430</v>
      </c>
      <c r="B44" s="3" t="n">
        <v>4</v>
      </c>
      <c r="C44" s="1" t="s">
        <v>1399</v>
      </c>
      <c r="D44" s="1" t="s">
        <v>1427</v>
      </c>
    </row>
    <row r="45" customFormat="false" ht="15" hidden="false" customHeight="false" outlineLevel="0" collapsed="false">
      <c r="A45" s="1" t="s">
        <v>1431</v>
      </c>
      <c r="B45" s="3" t="n">
        <v>0.1</v>
      </c>
      <c r="C45" s="1" t="s">
        <v>1414</v>
      </c>
      <c r="D45" s="1" t="s">
        <v>1432</v>
      </c>
    </row>
    <row r="46" customFormat="false" ht="15" hidden="false" customHeight="false" outlineLevel="0" collapsed="false">
      <c r="A46" s="1" t="s">
        <v>1433</v>
      </c>
      <c r="B46" s="3" t="n">
        <v>0.6</v>
      </c>
      <c r="C46" s="1" t="s">
        <v>1356</v>
      </c>
      <c r="D46" s="1" t="s">
        <v>1434</v>
      </c>
    </row>
    <row r="47" customFormat="false" ht="15" hidden="false" customHeight="false" outlineLevel="0" collapsed="false">
      <c r="A47" s="1" t="s">
        <v>1435</v>
      </c>
      <c r="B47" s="3" t="n">
        <v>0.5</v>
      </c>
      <c r="C47" s="1" t="s">
        <v>1356</v>
      </c>
      <c r="D47" s="1" t="s">
        <v>1436</v>
      </c>
    </row>
    <row r="48" customFormat="false" ht="15" hidden="false" customHeight="false" outlineLevel="0" collapsed="false">
      <c r="A48" s="1" t="s">
        <v>869</v>
      </c>
    </row>
    <row r="49" customFormat="false" ht="15" hidden="false" customHeight="false" outlineLevel="0" collapsed="false">
      <c r="A49" s="1" t="s">
        <v>1437</v>
      </c>
      <c r="B49" s="3" t="n">
        <v>0.6</v>
      </c>
      <c r="C49" s="1" t="s">
        <v>1414</v>
      </c>
      <c r="D49" s="1" t="s">
        <v>1438</v>
      </c>
    </row>
    <row r="50" customFormat="false" ht="15" hidden="false" customHeight="false" outlineLevel="0" collapsed="false">
      <c r="A50" s="1" t="s">
        <v>1439</v>
      </c>
      <c r="B50" s="3" t="n">
        <v>1.8</v>
      </c>
      <c r="C50" s="1" t="s">
        <v>1380</v>
      </c>
      <c r="D50" s="1" t="s">
        <v>1440</v>
      </c>
    </row>
    <row r="51" customFormat="false" ht="15" hidden="false" customHeight="false" outlineLevel="0" collapsed="false">
      <c r="A51" s="1" t="s">
        <v>1441</v>
      </c>
      <c r="B51" s="3" t="n">
        <v>0.5</v>
      </c>
      <c r="C51" s="1" t="s">
        <v>1356</v>
      </c>
      <c r="D51" s="1" t="s">
        <v>1442</v>
      </c>
    </row>
    <row r="52" customFormat="false" ht="15" hidden="false" customHeight="false" outlineLevel="0" collapsed="false">
      <c r="A52" s="1" t="s">
        <v>1443</v>
      </c>
      <c r="B52" s="3" t="n">
        <v>5</v>
      </c>
      <c r="C52" s="1" t="s">
        <v>1356</v>
      </c>
      <c r="D52" s="1" t="s">
        <v>1444</v>
      </c>
    </row>
    <row r="53" customFormat="false" ht="15" hidden="false" customHeight="false" outlineLevel="0" collapsed="false">
      <c r="A53" s="1" t="s">
        <v>1445</v>
      </c>
    </row>
    <row r="54" customFormat="false" ht="15" hidden="false" customHeight="false" outlineLevel="0" collapsed="false">
      <c r="A54" s="1" t="s">
        <v>1446</v>
      </c>
      <c r="B54" s="3" t="n">
        <v>2</v>
      </c>
      <c r="C54" s="1" t="s">
        <v>1356</v>
      </c>
      <c r="D54" s="1" t="s">
        <v>1447</v>
      </c>
    </row>
    <row r="55" customFormat="false" ht="15" hidden="false" customHeight="false" outlineLevel="0" collapsed="false">
      <c r="A55" s="1" t="s">
        <v>1448</v>
      </c>
      <c r="B55" s="3" t="n">
        <v>0.7</v>
      </c>
      <c r="C55" s="1" t="s">
        <v>1414</v>
      </c>
      <c r="D55" s="1" t="s">
        <v>1449</v>
      </c>
    </row>
    <row r="56" customFormat="false" ht="15" hidden="false" customHeight="false" outlineLevel="0" collapsed="false">
      <c r="A56" s="1" t="s">
        <v>1450</v>
      </c>
      <c r="B56" s="3" t="n">
        <v>0.3</v>
      </c>
      <c r="C56" s="1" t="s">
        <v>1414</v>
      </c>
      <c r="D56" s="1" t="s">
        <v>1451</v>
      </c>
    </row>
    <row r="57" customFormat="false" ht="15" hidden="false" customHeight="false" outlineLevel="0" collapsed="false">
      <c r="A57" s="1" t="s">
        <v>1452</v>
      </c>
      <c r="B57" s="3" t="n">
        <v>0.5</v>
      </c>
      <c r="C57" s="1" t="s">
        <v>1414</v>
      </c>
      <c r="D57" s="1" t="s">
        <v>1453</v>
      </c>
    </row>
    <row r="58" customFormat="false" ht="15" hidden="false" customHeight="false" outlineLevel="0" collapsed="false">
      <c r="A58" s="1" t="s">
        <v>1454</v>
      </c>
      <c r="B58" s="3" t="n">
        <v>7</v>
      </c>
      <c r="C58" s="1" t="s">
        <v>1455</v>
      </c>
      <c r="D58" s="1" t="s">
        <v>1456</v>
      </c>
    </row>
    <row r="59" customFormat="false" ht="15" hidden="false" customHeight="false" outlineLevel="0" collapsed="false">
      <c r="A59" s="1" t="s">
        <v>1457</v>
      </c>
      <c r="B59" s="3" t="n">
        <v>0.01</v>
      </c>
      <c r="C59" s="1" t="s">
        <v>1414</v>
      </c>
      <c r="D59" s="1" t="s">
        <v>1458</v>
      </c>
    </row>
    <row r="60" customFormat="false" ht="15" hidden="false" customHeight="false" outlineLevel="0" collapsed="false">
      <c r="A60" s="1" t="s">
        <v>1459</v>
      </c>
      <c r="B60" s="3" t="n">
        <v>0.5</v>
      </c>
      <c r="C60" s="1" t="s">
        <v>1414</v>
      </c>
      <c r="D60" s="1" t="s">
        <v>1460</v>
      </c>
    </row>
    <row r="61" customFormat="false" ht="15" hidden="false" customHeight="false" outlineLevel="0" collapsed="false">
      <c r="A61" s="1" t="s">
        <v>1086</v>
      </c>
      <c r="B61" s="3" t="n">
        <v>72</v>
      </c>
      <c r="C61" s="1" t="s">
        <v>1461</v>
      </c>
      <c r="D61" s="1" t="s">
        <v>1462</v>
      </c>
    </row>
    <row r="62" customFormat="false" ht="15" hidden="false" customHeight="false" outlineLevel="0" collapsed="false">
      <c r="A62" s="1" t="s">
        <v>1463</v>
      </c>
      <c r="B62" s="3" t="n">
        <v>30</v>
      </c>
      <c r="C62" s="1" t="s">
        <v>1399</v>
      </c>
      <c r="D62" s="1" t="s">
        <v>1464</v>
      </c>
    </row>
    <row r="63" customFormat="false" ht="15" hidden="false" customHeight="false" outlineLevel="0" collapsed="false">
      <c r="A63" s="1" t="s">
        <v>1465</v>
      </c>
    </row>
    <row r="64" customFormat="false" ht="15" hidden="false" customHeight="false" outlineLevel="0" collapsed="false">
      <c r="A64" s="1" t="s">
        <v>1466</v>
      </c>
      <c r="B64" s="3" t="n">
        <v>0.25</v>
      </c>
      <c r="C64" s="1" t="s">
        <v>1414</v>
      </c>
      <c r="D64" s="1" t="s">
        <v>1467</v>
      </c>
    </row>
    <row r="65" customFormat="false" ht="15" hidden="false" customHeight="false" outlineLevel="0" collapsed="false">
      <c r="A65" s="1" t="s">
        <v>1468</v>
      </c>
      <c r="B65" s="3" t="n">
        <v>10</v>
      </c>
      <c r="C65" s="1" t="s">
        <v>1469</v>
      </c>
      <c r="D65" s="1" t="s">
        <v>1470</v>
      </c>
    </row>
    <row r="66" customFormat="false" ht="15" hidden="false" customHeight="false" outlineLevel="0" collapsed="false">
      <c r="A66" s="1" t="s">
        <v>1471</v>
      </c>
      <c r="B66" s="3" t="n">
        <v>1.6</v>
      </c>
      <c r="C66" s="1" t="s">
        <v>1356</v>
      </c>
      <c r="D66" s="1" t="s">
        <v>1472</v>
      </c>
    </row>
    <row r="67" customFormat="false" ht="15" hidden="false" customHeight="false" outlineLevel="0" collapsed="false">
      <c r="A67" s="1" t="s">
        <v>1473</v>
      </c>
      <c r="B67" s="3" t="n">
        <v>1</v>
      </c>
      <c r="C67" s="1" t="s">
        <v>1461</v>
      </c>
      <c r="D67" s="1" t="s">
        <v>1474</v>
      </c>
    </row>
    <row r="68" customFormat="false" ht="15" hidden="false" customHeight="false" outlineLevel="0" collapsed="false">
      <c r="A68" s="1" t="s">
        <v>1475</v>
      </c>
      <c r="B68" s="3" t="n">
        <v>100</v>
      </c>
      <c r="C68" s="1" t="s">
        <v>1476</v>
      </c>
      <c r="D68" s="1" t="s">
        <v>1477</v>
      </c>
    </row>
    <row r="69" customFormat="false" ht="15" hidden="false" customHeight="false" outlineLevel="0" collapsed="false">
      <c r="A69" s="1" t="s">
        <v>1478</v>
      </c>
      <c r="B69" s="3" t="n">
        <v>500</v>
      </c>
      <c r="C69" s="1" t="s">
        <v>1479</v>
      </c>
      <c r="D69" s="1" t="s">
        <v>1480</v>
      </c>
    </row>
    <row r="70" customFormat="false" ht="15" hidden="false" customHeight="false" outlineLevel="0" collapsed="false">
      <c r="A70" s="1" t="s">
        <v>1481</v>
      </c>
      <c r="B70" s="3" t="n">
        <v>1500</v>
      </c>
      <c r="C70" s="1" t="s">
        <v>1479</v>
      </c>
      <c r="D70" s="1" t="s">
        <v>1482</v>
      </c>
    </row>
    <row r="71" customFormat="false" ht="15" hidden="false" customHeight="false" outlineLevel="0" collapsed="false">
      <c r="A71" s="1" t="s">
        <v>1483</v>
      </c>
      <c r="B71" s="3" t="n">
        <v>0.6</v>
      </c>
      <c r="C71" s="1" t="s">
        <v>1356</v>
      </c>
      <c r="D71" s="1" t="s">
        <v>1484</v>
      </c>
    </row>
    <row r="72" customFormat="false" ht="15" hidden="false" customHeight="false" outlineLevel="0" collapsed="false">
      <c r="A72" s="1" t="s">
        <v>1485</v>
      </c>
      <c r="B72" s="3" t="n">
        <v>1</v>
      </c>
      <c r="C72" s="1" t="s">
        <v>1414</v>
      </c>
      <c r="D72" s="1" t="s">
        <v>1486</v>
      </c>
    </row>
    <row r="73" customFormat="false" ht="15" hidden="false" customHeight="false" outlineLevel="0" collapsed="false">
      <c r="A73" s="1" t="s">
        <v>1487</v>
      </c>
      <c r="B73" s="3" t="n">
        <v>12</v>
      </c>
      <c r="C73" s="1" t="s">
        <v>1461</v>
      </c>
      <c r="D73" s="1" t="s">
        <v>1488</v>
      </c>
    </row>
    <row r="74" customFormat="false" ht="15" hidden="false" customHeight="false" outlineLevel="0" collapsed="false">
      <c r="A74" s="1" t="s">
        <v>1489</v>
      </c>
      <c r="B74" s="3" t="n">
        <v>24</v>
      </c>
      <c r="C74" s="1" t="s">
        <v>1461</v>
      </c>
      <c r="D74" s="1" t="s">
        <v>1490</v>
      </c>
    </row>
    <row r="75" customFormat="false" ht="15" hidden="false" customHeight="false" outlineLevel="0" collapsed="false">
      <c r="A75" s="1" t="s">
        <v>1491</v>
      </c>
      <c r="B75" s="3" t="n">
        <v>168</v>
      </c>
      <c r="C75" s="1" t="s">
        <v>1461</v>
      </c>
      <c r="D75" s="1" t="s">
        <v>1492</v>
      </c>
    </row>
    <row r="76" customFormat="false" ht="15" hidden="false" customHeight="false" outlineLevel="0" collapsed="false">
      <c r="A76" s="1" t="s">
        <v>1493</v>
      </c>
      <c r="B76" s="3" t="n">
        <v>48</v>
      </c>
      <c r="C76" s="1" t="s">
        <v>1494</v>
      </c>
      <c r="D76" s="1" t="s">
        <v>1495</v>
      </c>
    </row>
    <row r="77" customFormat="false" ht="15" hidden="false" customHeight="false" outlineLevel="0" collapsed="false">
      <c r="A77" s="1" t="s">
        <v>1496</v>
      </c>
      <c r="B77" s="3" t="n">
        <v>250</v>
      </c>
      <c r="C77" s="1" t="s">
        <v>1497</v>
      </c>
      <c r="D77" s="1" t="s">
        <v>1498</v>
      </c>
    </row>
    <row r="78" customFormat="false" ht="15" hidden="false" customHeight="false" outlineLevel="0" collapsed="false">
      <c r="A78" s="1" t="s">
        <v>1499</v>
      </c>
    </row>
    <row r="79" customFormat="false" ht="15" hidden="false" customHeight="false" outlineLevel="0" collapsed="false">
      <c r="A79" s="1" t="s">
        <v>1500</v>
      </c>
      <c r="B79" s="3" t="n">
        <v>9</v>
      </c>
      <c r="C79" s="1" t="s">
        <v>1409</v>
      </c>
      <c r="D79" s="1" t="s">
        <v>1501</v>
      </c>
    </row>
    <row r="80" customFormat="false" ht="15" hidden="false" customHeight="false" outlineLevel="0" collapsed="false">
      <c r="A80" s="1" t="s">
        <v>937</v>
      </c>
      <c r="B80" s="3" t="n">
        <v>30</v>
      </c>
      <c r="C80" s="1" t="s">
        <v>1399</v>
      </c>
      <c r="D80" s="1" t="s">
        <v>1502</v>
      </c>
    </row>
    <row r="81" customFormat="false" ht="15" hidden="false" customHeight="false" outlineLevel="0" collapsed="false">
      <c r="A81" s="1" t="s">
        <v>1503</v>
      </c>
      <c r="B81" s="3" t="n">
        <v>0.4</v>
      </c>
      <c r="C81" s="1" t="s">
        <v>1414</v>
      </c>
      <c r="D81" s="1" t="s">
        <v>1504</v>
      </c>
    </row>
    <row r="82" customFormat="false" ht="15" hidden="false" customHeight="false" outlineLevel="0" collapsed="false">
      <c r="A82" s="1" t="s">
        <v>1505</v>
      </c>
      <c r="B82" s="3" t="n">
        <v>0.9</v>
      </c>
      <c r="C82" s="1" t="s">
        <v>1414</v>
      </c>
      <c r="D82" s="1" t="s">
        <v>1506</v>
      </c>
    </row>
    <row r="83" customFormat="false" ht="15" hidden="false" customHeight="false" outlineLevel="0" collapsed="false">
      <c r="A83" s="1" t="s">
        <v>1507</v>
      </c>
      <c r="B83" s="3" t="n">
        <v>5</v>
      </c>
      <c r="C83" s="1" t="s">
        <v>1508</v>
      </c>
      <c r="D83" s="1" t="s">
        <v>1509</v>
      </c>
    </row>
    <row r="84" customFormat="false" ht="15" hidden="false" customHeight="false" outlineLevel="0" collapsed="false">
      <c r="A84" s="1" t="s">
        <v>1510</v>
      </c>
      <c r="B84" s="3" t="n">
        <v>0.1</v>
      </c>
      <c r="C84" s="1" t="s">
        <v>1414</v>
      </c>
      <c r="D84" s="1" t="s">
        <v>1511</v>
      </c>
    </row>
    <row r="85" customFormat="false" ht="15" hidden="false" customHeight="false" outlineLevel="0" collapsed="false">
      <c r="A85" s="1" t="s">
        <v>1512</v>
      </c>
      <c r="B85" s="3" t="n">
        <v>0.4</v>
      </c>
      <c r="C85" s="1" t="s">
        <v>1414</v>
      </c>
      <c r="D85" s="1" t="s">
        <v>1513</v>
      </c>
    </row>
    <row r="86" customFormat="false" ht="15" hidden="false" customHeight="false" outlineLevel="0" collapsed="false">
      <c r="A86" s="1" t="s">
        <v>1514</v>
      </c>
      <c r="B86" s="3" t="n">
        <v>0.25</v>
      </c>
      <c r="C86" s="1" t="s">
        <v>1414</v>
      </c>
      <c r="D86" s="1" t="s">
        <v>1515</v>
      </c>
    </row>
    <row r="87" customFormat="false" ht="15" hidden="false" customHeight="false" outlineLevel="0" collapsed="false">
      <c r="A87" s="1" t="s">
        <v>1516</v>
      </c>
      <c r="B87" s="3" t="n">
        <v>20</v>
      </c>
      <c r="C87" s="1" t="s">
        <v>1517</v>
      </c>
      <c r="D87" s="1" t="s">
        <v>1518</v>
      </c>
    </row>
    <row r="88" customFormat="false" ht="15" hidden="false" customHeight="false" outlineLevel="0" collapsed="false">
      <c r="A88" s="1" t="s">
        <v>1519</v>
      </c>
      <c r="B88" s="3" t="n">
        <v>60</v>
      </c>
      <c r="C88" s="1" t="s">
        <v>1517</v>
      </c>
      <c r="D88" s="1" t="s">
        <v>1520</v>
      </c>
    </row>
    <row r="89" customFormat="false" ht="15" hidden="false" customHeight="false" outlineLevel="0" collapsed="false">
      <c r="A89" s="1" t="s">
        <v>1521</v>
      </c>
    </row>
    <row r="90" customFormat="false" ht="15" hidden="false" customHeight="false" outlineLevel="0" collapsed="false">
      <c r="A90" s="1" t="s">
        <v>1522</v>
      </c>
      <c r="B90" s="3" t="n">
        <v>12</v>
      </c>
      <c r="C90" s="1" t="s">
        <v>1461</v>
      </c>
      <c r="D90" s="1" t="s">
        <v>1523</v>
      </c>
    </row>
    <row r="91" customFormat="false" ht="15" hidden="false" customHeight="false" outlineLevel="0" collapsed="false">
      <c r="A91" s="1" t="s">
        <v>1524</v>
      </c>
      <c r="B91" s="3" t="n">
        <v>0.2</v>
      </c>
      <c r="C91" s="1" t="s">
        <v>1414</v>
      </c>
      <c r="D91" s="1" t="s">
        <v>1525</v>
      </c>
    </row>
    <row r="92" customFormat="false" ht="15" hidden="false" customHeight="false" outlineLevel="0" collapsed="false">
      <c r="A92" s="1" t="s">
        <v>987</v>
      </c>
      <c r="B92" s="3" t="n">
        <v>0.25</v>
      </c>
      <c r="C92" s="1" t="s">
        <v>1414</v>
      </c>
      <c r="D92" s="1" t="s">
        <v>1526</v>
      </c>
    </row>
    <row r="93" customFormat="false" ht="15" hidden="false" customHeight="false" outlineLevel="0" collapsed="false">
      <c r="A93" s="1" t="s">
        <v>1527</v>
      </c>
      <c r="B93" s="3" t="n">
        <v>0.4</v>
      </c>
      <c r="C93" s="1" t="s">
        <v>1414</v>
      </c>
      <c r="D93" s="1" t="s">
        <v>1528</v>
      </c>
    </row>
    <row r="94" customFormat="false" ht="15" hidden="false" customHeight="false" outlineLevel="0" collapsed="false">
      <c r="A94" s="1" t="s">
        <v>1529</v>
      </c>
      <c r="B94" s="3" t="n">
        <v>7</v>
      </c>
      <c r="C94" s="1" t="s">
        <v>1455</v>
      </c>
      <c r="D94" s="1" t="s">
        <v>1530</v>
      </c>
    </row>
    <row r="95" customFormat="false" ht="15" hidden="false" customHeight="false" outlineLevel="0" collapsed="false">
      <c r="A95" s="1" t="s">
        <v>1531</v>
      </c>
      <c r="B95" s="3" t="n">
        <v>0.05</v>
      </c>
      <c r="C95" s="1" t="s">
        <v>1414</v>
      </c>
      <c r="D95" s="1" t="s">
        <v>1532</v>
      </c>
    </row>
    <row r="96" customFormat="false" ht="15" hidden="false" customHeight="false" outlineLevel="0" collapsed="false">
      <c r="A96" s="1" t="s">
        <v>1533</v>
      </c>
      <c r="B96" s="3" t="n">
        <v>0.2</v>
      </c>
      <c r="C96" s="1" t="s">
        <v>1414</v>
      </c>
      <c r="D96" s="1" t="s">
        <v>1534</v>
      </c>
    </row>
    <row r="97" customFormat="false" ht="15" hidden="false" customHeight="false" outlineLevel="0" collapsed="false">
      <c r="A97" s="1" t="s">
        <v>1535</v>
      </c>
      <c r="B97" s="3" t="n">
        <v>0.4</v>
      </c>
      <c r="C97" s="1" t="s">
        <v>1414</v>
      </c>
      <c r="D97" s="1" t="s">
        <v>1534</v>
      </c>
    </row>
    <row r="98" customFormat="false" ht="15" hidden="false" customHeight="false" outlineLevel="0" collapsed="false">
      <c r="A98" s="1" t="s">
        <v>1536</v>
      </c>
      <c r="B98" s="3" t="n">
        <v>0.3</v>
      </c>
      <c r="C98" s="1" t="s">
        <v>1414</v>
      </c>
      <c r="D98" s="1" t="s">
        <v>1537</v>
      </c>
    </row>
    <row r="99" customFormat="false" ht="15" hidden="false" customHeight="false" outlineLevel="0" collapsed="false">
      <c r="A99" s="1" t="s">
        <v>1538</v>
      </c>
      <c r="B99" s="3" t="n">
        <v>0.45</v>
      </c>
      <c r="C99" s="1" t="s">
        <v>1414</v>
      </c>
      <c r="D99" s="1" t="s">
        <v>1537</v>
      </c>
    </row>
    <row r="100" customFormat="false" ht="15" hidden="false" customHeight="false" outlineLevel="0" collapsed="false">
      <c r="A100" s="1" t="s">
        <v>1539</v>
      </c>
      <c r="B100" s="3" t="n">
        <v>0.15</v>
      </c>
      <c r="C100" s="1" t="s">
        <v>1414</v>
      </c>
      <c r="D100" s="1" t="s">
        <v>1540</v>
      </c>
    </row>
    <row r="101" customFormat="false" ht="15" hidden="false" customHeight="false" outlineLevel="0" collapsed="false">
      <c r="A101" s="1" t="s">
        <v>1541</v>
      </c>
      <c r="B101" s="3" t="n">
        <v>0.25</v>
      </c>
      <c r="C101" s="1" t="s">
        <v>1414</v>
      </c>
      <c r="D101" s="1" t="s">
        <v>1542</v>
      </c>
    </row>
    <row r="102" customFormat="false" ht="15" hidden="false" customHeight="false" outlineLevel="0" collapsed="false">
      <c r="A102" s="1" t="s">
        <v>1543</v>
      </c>
      <c r="B102" s="3" t="n">
        <v>5000</v>
      </c>
      <c r="C102" s="1" t="s">
        <v>657</v>
      </c>
      <c r="D102" s="1" t="s">
        <v>1544</v>
      </c>
    </row>
    <row r="103" customFormat="false" ht="15" hidden="false" customHeight="false" outlineLevel="0" collapsed="false">
      <c r="A103" s="1" t="s">
        <v>1545</v>
      </c>
      <c r="B103" s="3" t="n">
        <v>1.32</v>
      </c>
      <c r="C103" s="1" t="s">
        <v>1356</v>
      </c>
      <c r="D103" s="1" t="s">
        <v>1546</v>
      </c>
    </row>
    <row r="104" customFormat="false" ht="15" hidden="false" customHeight="false" outlineLevel="0" collapsed="false">
      <c r="A104" s="1" t="s">
        <v>1547</v>
      </c>
      <c r="B104" s="3" t="n">
        <v>1</v>
      </c>
      <c r="C104" s="1" t="s">
        <v>1548</v>
      </c>
      <c r="D104" s="1" t="s">
        <v>1549</v>
      </c>
    </row>
    <row r="105" customFormat="false" ht="15" hidden="false" customHeight="false" outlineLevel="0" collapsed="false">
      <c r="A105" s="1" t="s">
        <v>1550</v>
      </c>
      <c r="B105" s="3" t="n">
        <v>10</v>
      </c>
      <c r="C105" s="1" t="s">
        <v>1551</v>
      </c>
      <c r="D105" s="1" t="s">
        <v>1552</v>
      </c>
    </row>
    <row r="106" customFormat="false" ht="15" hidden="false" customHeight="false" outlineLevel="0" collapsed="false">
      <c r="A106" s="1" t="s">
        <v>1553</v>
      </c>
      <c r="B106" s="3" t="n">
        <v>1.2</v>
      </c>
      <c r="C106" s="1" t="s">
        <v>1356</v>
      </c>
      <c r="D106" s="1" t="s">
        <v>1554</v>
      </c>
    </row>
    <row r="107" customFormat="false" ht="15" hidden="false" customHeight="false" outlineLevel="0" collapsed="false">
      <c r="A107" s="1" t="s">
        <v>1555</v>
      </c>
      <c r="B107" s="3" t="n">
        <v>2</v>
      </c>
      <c r="C107" s="1" t="s">
        <v>1356</v>
      </c>
      <c r="D107" s="1" t="s">
        <v>1556</v>
      </c>
    </row>
    <row r="108" customFormat="false" ht="15" hidden="false" customHeight="false" outlineLevel="0" collapsed="false">
      <c r="A108" s="1" t="s">
        <v>1557</v>
      </c>
      <c r="B108" s="3" t="n">
        <v>1.5</v>
      </c>
      <c r="C108" s="1" t="s">
        <v>1356</v>
      </c>
      <c r="D108" s="1" t="s">
        <v>1556</v>
      </c>
    </row>
    <row r="109" customFormat="false" ht="15" hidden="false" customHeight="false" outlineLevel="0" collapsed="false">
      <c r="A109" s="1" t="s">
        <v>1558</v>
      </c>
      <c r="B109" s="3" t="n">
        <v>0.5</v>
      </c>
      <c r="C109" s="1" t="s">
        <v>1356</v>
      </c>
      <c r="D109" s="1" t="s">
        <v>1556</v>
      </c>
    </row>
    <row r="110" customFormat="false" ht="15" hidden="false" customHeight="false" outlineLevel="0" collapsed="false">
      <c r="A110" s="1" t="s">
        <v>1067</v>
      </c>
    </row>
    <row r="111" customFormat="false" ht="15" hidden="false" customHeight="false" outlineLevel="0" collapsed="false">
      <c r="A111" s="1" t="s">
        <v>1559</v>
      </c>
      <c r="B111" s="3" t="n">
        <v>0.6</v>
      </c>
      <c r="C111" s="1" t="s">
        <v>1560</v>
      </c>
      <c r="D111" s="1" t="s">
        <v>1561</v>
      </c>
    </row>
    <row r="112" customFormat="false" ht="15" hidden="false" customHeight="false" outlineLevel="0" collapsed="false">
      <c r="A112" s="1" t="s">
        <v>1562</v>
      </c>
      <c r="B112" s="3" t="n">
        <v>0.1</v>
      </c>
      <c r="C112" s="1" t="s">
        <v>1563</v>
      </c>
      <c r="D112" s="1" t="s">
        <v>1564</v>
      </c>
    </row>
    <row r="113" customFormat="false" ht="15" hidden="false" customHeight="false" outlineLevel="0" collapsed="false">
      <c r="A113" s="1" t="s">
        <v>1565</v>
      </c>
      <c r="B113" s="3" t="n">
        <v>0.4</v>
      </c>
      <c r="C113" s="1" t="s">
        <v>1566</v>
      </c>
      <c r="D113" s="1" t="s">
        <v>1567</v>
      </c>
    </row>
    <row r="114" customFormat="false" ht="15" hidden="false" customHeight="false" outlineLevel="0" collapsed="false">
      <c r="A114" s="1" t="s">
        <v>1568</v>
      </c>
      <c r="B114" s="3" t="n">
        <v>0.04</v>
      </c>
      <c r="C114" s="1" t="s">
        <v>1569</v>
      </c>
      <c r="D114" s="1" t="s">
        <v>1363</v>
      </c>
    </row>
    <row r="115" customFormat="false" ht="15" hidden="false" customHeight="false" outlineLevel="0" collapsed="false">
      <c r="A115" s="1" t="s">
        <v>1570</v>
      </c>
      <c r="B115" s="3" t="n">
        <v>0.2</v>
      </c>
      <c r="C115" s="1" t="s">
        <v>1571</v>
      </c>
      <c r="D115" s="1" t="s">
        <v>1572</v>
      </c>
    </row>
    <row r="116" customFormat="false" ht="15" hidden="false" customHeight="false" outlineLevel="0" collapsed="false">
      <c r="A116" s="1" t="s">
        <v>1573</v>
      </c>
      <c r="B116" s="3" t="n">
        <v>3</v>
      </c>
      <c r="C116" s="1" t="s">
        <v>1455</v>
      </c>
      <c r="D116" s="1" t="s">
        <v>1574</v>
      </c>
    </row>
    <row r="117" customFormat="false" ht="15" hidden="false" customHeight="false" outlineLevel="0" collapsed="false">
      <c r="A117" s="1" t="s">
        <v>231</v>
      </c>
    </row>
    <row r="118" customFormat="false" ht="15" hidden="false" customHeight="false" outlineLevel="0" collapsed="false">
      <c r="A118" s="1" t="s">
        <v>1575</v>
      </c>
      <c r="B118" s="3" t="n">
        <v>40</v>
      </c>
      <c r="C118" s="1" t="s">
        <v>1426</v>
      </c>
      <c r="D118" s="1" t="s">
        <v>1576</v>
      </c>
    </row>
    <row r="119" customFormat="false" ht="15" hidden="false" customHeight="false" outlineLevel="0" collapsed="false">
      <c r="A119" s="1" t="s">
        <v>1577</v>
      </c>
      <c r="B119" s="3" t="n">
        <v>1.22</v>
      </c>
      <c r="C119" s="1" t="s">
        <v>1356</v>
      </c>
      <c r="D119" s="1" t="s">
        <v>1578</v>
      </c>
    </row>
    <row r="120" customFormat="false" ht="15" hidden="false" customHeight="false" outlineLevel="0" collapsed="false">
      <c r="A120" s="1" t="s">
        <v>1579</v>
      </c>
      <c r="B120" s="3" t="n">
        <v>0.25</v>
      </c>
      <c r="C120" s="1" t="s">
        <v>1580</v>
      </c>
      <c r="D120" s="1" t="s">
        <v>1581</v>
      </c>
    </row>
    <row r="121" customFormat="false" ht="15" hidden="false" customHeight="false" outlineLevel="0" collapsed="false">
      <c r="A121" s="1" t="s">
        <v>1582</v>
      </c>
      <c r="B121" s="3" t="n">
        <v>1.25</v>
      </c>
      <c r="C121" s="1" t="s">
        <v>1356</v>
      </c>
      <c r="D121" s="1" t="s">
        <v>1583</v>
      </c>
    </row>
    <row r="122" customFormat="false" ht="15" hidden="false" customHeight="false" outlineLevel="0" collapsed="false">
      <c r="A122" s="1" t="s">
        <v>1584</v>
      </c>
      <c r="B122" s="3" t="n">
        <v>0.3</v>
      </c>
      <c r="C122" s="1" t="s">
        <v>1414</v>
      </c>
      <c r="D122" s="1" t="s">
        <v>1585</v>
      </c>
    </row>
    <row r="123" customFormat="false" ht="15" hidden="false" customHeight="false" outlineLevel="0" collapsed="false">
      <c r="A123" s="1" t="s">
        <v>1586</v>
      </c>
      <c r="B123" s="3" t="n">
        <v>0.02</v>
      </c>
      <c r="C123" s="1" t="s">
        <v>1587</v>
      </c>
      <c r="D123" s="1" t="s">
        <v>1363</v>
      </c>
    </row>
    <row r="124" customFormat="false" ht="15" hidden="false" customHeight="false" outlineLevel="0" collapsed="false">
      <c r="A124" s="1" t="s">
        <v>1588</v>
      </c>
      <c r="B124" s="3" t="n">
        <v>100</v>
      </c>
      <c r="C124" s="1" t="s">
        <v>1429</v>
      </c>
      <c r="D124" s="1" t="s">
        <v>1589</v>
      </c>
    </row>
    <row r="125" customFormat="false" ht="15" hidden="false" customHeight="false" outlineLevel="0" collapsed="false">
      <c r="A125" s="1" t="s">
        <v>1590</v>
      </c>
      <c r="B125" s="3" t="n">
        <v>60</v>
      </c>
      <c r="C125" s="1" t="s">
        <v>1429</v>
      </c>
      <c r="D125" s="1" t="s">
        <v>1589</v>
      </c>
    </row>
    <row r="126" customFormat="false" ht="15" hidden="false" customHeight="false" outlineLevel="0" collapsed="false">
      <c r="A126" s="1" t="s">
        <v>1591</v>
      </c>
    </row>
    <row r="127" customFormat="false" ht="15" hidden="false" customHeight="false" outlineLevel="0" collapsed="false">
      <c r="A127" s="1" t="s">
        <v>1592</v>
      </c>
      <c r="B127" s="3" t="n">
        <v>20</v>
      </c>
      <c r="C127" s="1" t="s">
        <v>1580</v>
      </c>
      <c r="D127" s="1" t="s">
        <v>1593</v>
      </c>
    </row>
    <row r="128" customFormat="false" ht="15" hidden="false" customHeight="false" outlineLevel="0" collapsed="false">
      <c r="A128" s="1" t="s">
        <v>1594</v>
      </c>
      <c r="B128" s="3" t="n">
        <v>1.22</v>
      </c>
      <c r="C128" s="1" t="s">
        <v>1356</v>
      </c>
      <c r="D128" s="1" t="s">
        <v>1595</v>
      </c>
    </row>
    <row r="129" customFormat="false" ht="15" hidden="false" customHeight="false" outlineLevel="0" collapsed="false">
      <c r="A129" s="1" t="s">
        <v>1596</v>
      </c>
      <c r="B129" s="3" t="n">
        <v>10</v>
      </c>
      <c r="C129" s="1" t="s">
        <v>1461</v>
      </c>
      <c r="D129" s="1" t="s">
        <v>1597</v>
      </c>
    </row>
    <row r="130" customFormat="false" ht="15" hidden="false" customHeight="false" outlineLevel="0" collapsed="false">
      <c r="A130" s="1" t="s">
        <v>1598</v>
      </c>
      <c r="B130" s="3" t="n">
        <v>150</v>
      </c>
      <c r="C130" s="1" t="s">
        <v>1429</v>
      </c>
      <c r="D130" s="1" t="s">
        <v>1589</v>
      </c>
    </row>
    <row r="131" customFormat="false" ht="15" hidden="false" customHeight="false" outlineLevel="0" collapsed="false">
      <c r="A131" s="1" t="s">
        <v>1599</v>
      </c>
      <c r="B131" s="3" t="n">
        <v>100</v>
      </c>
      <c r="C131" s="1" t="s">
        <v>1429</v>
      </c>
      <c r="D131" s="1" t="s">
        <v>1589</v>
      </c>
    </row>
    <row r="132" customFormat="false" ht="15" hidden="false" customHeight="false" outlineLevel="0" collapsed="false">
      <c r="A132" s="1" t="s">
        <v>1600</v>
      </c>
      <c r="B132" s="3" t="n">
        <v>40</v>
      </c>
      <c r="C132" s="1" t="s">
        <v>1429</v>
      </c>
      <c r="D132" s="1" t="s">
        <v>1589</v>
      </c>
    </row>
    <row r="133" customFormat="false" ht="15" hidden="false" customHeight="false" outlineLevel="0" collapsed="false">
      <c r="A133" s="1" t="s">
        <v>1601</v>
      </c>
    </row>
    <row r="134" customFormat="false" ht="15" hidden="false" customHeight="false" outlineLevel="0" collapsed="false">
      <c r="A134" s="1" t="s">
        <v>1602</v>
      </c>
      <c r="B134" s="3" t="n">
        <v>1.3</v>
      </c>
      <c r="C134" s="1" t="s">
        <v>1356</v>
      </c>
      <c r="D134" s="1" t="s">
        <v>1603</v>
      </c>
    </row>
    <row r="135" customFormat="false" ht="15" hidden="false" customHeight="false" outlineLevel="0" collapsed="false">
      <c r="A135" s="1" t="s">
        <v>1604</v>
      </c>
      <c r="B135" s="3" t="n">
        <v>1.25</v>
      </c>
      <c r="C135" s="1" t="s">
        <v>1356</v>
      </c>
      <c r="D135" s="1" t="s">
        <v>1603</v>
      </c>
    </row>
    <row r="136" customFormat="false" ht="15" hidden="false" customHeight="false" outlineLevel="0" collapsed="false">
      <c r="A136" s="1" t="s">
        <v>1605</v>
      </c>
      <c r="B136" s="3" t="n">
        <v>10</v>
      </c>
      <c r="C136" s="1" t="s">
        <v>1399</v>
      </c>
      <c r="D136" s="1" t="s">
        <v>1589</v>
      </c>
    </row>
    <row r="137" customFormat="false" ht="15" hidden="false" customHeight="false" outlineLevel="0" collapsed="false">
      <c r="A137" s="1" t="s">
        <v>1606</v>
      </c>
      <c r="B137" s="3" t="n">
        <v>7</v>
      </c>
      <c r="C137" s="1" t="s">
        <v>1455</v>
      </c>
      <c r="D137" s="1" t="s">
        <v>1607</v>
      </c>
    </row>
    <row r="138" customFormat="false" ht="15" hidden="false" customHeight="false" outlineLevel="0" collapsed="false">
      <c r="A138" s="1" t="s">
        <v>1608</v>
      </c>
    </row>
    <row r="139" customFormat="false" ht="15" hidden="false" customHeight="false" outlineLevel="0" collapsed="false">
      <c r="A139" s="1" t="s">
        <v>1609</v>
      </c>
      <c r="B139" s="3" t="n">
        <v>0.03</v>
      </c>
      <c r="C139" s="1" t="s">
        <v>1587</v>
      </c>
      <c r="D139" s="1" t="s">
        <v>1610</v>
      </c>
    </row>
    <row r="140" customFormat="false" ht="15" hidden="false" customHeight="false" outlineLevel="0" collapsed="false">
      <c r="A140" s="1" t="s">
        <v>1611</v>
      </c>
      <c r="B140" s="3" t="n">
        <v>1.45</v>
      </c>
      <c r="C140" s="1" t="s">
        <v>1356</v>
      </c>
      <c r="D140" s="1" t="s">
        <v>1612</v>
      </c>
    </row>
    <row r="141" customFormat="false" ht="15" hidden="false" customHeight="false" outlineLevel="0" collapsed="false">
      <c r="A141" s="1" t="s">
        <v>1613</v>
      </c>
      <c r="B141" s="3" t="n">
        <v>4</v>
      </c>
      <c r="C141" s="1" t="s">
        <v>1380</v>
      </c>
      <c r="D141" s="1" t="s">
        <v>1614</v>
      </c>
    </row>
    <row r="142" customFormat="false" ht="15" hidden="false" customHeight="false" outlineLevel="0" collapsed="false">
      <c r="A142" s="1" t="s">
        <v>1615</v>
      </c>
      <c r="B142" s="3" t="n">
        <v>1.3</v>
      </c>
      <c r="C142" s="1" t="s">
        <v>1356</v>
      </c>
      <c r="D142" s="1" t="s">
        <v>1616</v>
      </c>
    </row>
    <row r="143" customFormat="false" ht="15" hidden="false" customHeight="false" outlineLevel="0" collapsed="false">
      <c r="A143" s="1" t="s">
        <v>834</v>
      </c>
      <c r="B143" s="3" t="n">
        <v>19</v>
      </c>
      <c r="C143" s="1" t="s">
        <v>1380</v>
      </c>
      <c r="D143" s="1" t="s">
        <v>1617</v>
      </c>
    </row>
    <row r="144" customFormat="false" ht="15" hidden="false" customHeight="false" outlineLevel="0" collapsed="false">
      <c r="A144" s="1" t="s">
        <v>1618</v>
      </c>
      <c r="B144" s="3" t="n">
        <v>0.2</v>
      </c>
      <c r="C144" s="1" t="s">
        <v>1414</v>
      </c>
      <c r="D144" s="1" t="s">
        <v>1619</v>
      </c>
    </row>
    <row r="145" customFormat="false" ht="15" hidden="false" customHeight="false" outlineLevel="0" collapsed="false">
      <c r="A145" s="1" t="s">
        <v>1620</v>
      </c>
      <c r="B145" s="3" t="n">
        <v>0.45</v>
      </c>
      <c r="C145" s="1" t="s">
        <v>1414</v>
      </c>
      <c r="D145" s="1" t="s">
        <v>1619</v>
      </c>
    </row>
    <row r="146" customFormat="false" ht="15" hidden="false" customHeight="false" outlineLevel="0" collapsed="false">
      <c r="A146" s="1" t="s">
        <v>1621</v>
      </c>
      <c r="B146" s="3" t="n">
        <v>0.2</v>
      </c>
      <c r="C146" s="1" t="s">
        <v>1414</v>
      </c>
      <c r="D146" s="1" t="s">
        <v>1619</v>
      </c>
    </row>
    <row r="147" customFormat="false" ht="15" hidden="false" customHeight="false" outlineLevel="0" collapsed="false">
      <c r="A147" s="1" t="s">
        <v>1622</v>
      </c>
      <c r="B147" s="3" t="n">
        <v>0.15</v>
      </c>
      <c r="C147" s="1" t="s">
        <v>1414</v>
      </c>
      <c r="D147" s="1" t="s">
        <v>1623</v>
      </c>
    </row>
    <row r="148" customFormat="false" ht="15" hidden="false" customHeight="false" outlineLevel="0" collapsed="false">
      <c r="A148" s="1" t="s">
        <v>1624</v>
      </c>
    </row>
    <row r="149" customFormat="false" ht="15" hidden="false" customHeight="false" outlineLevel="0" collapsed="false">
      <c r="A149" s="1" t="s">
        <v>1625</v>
      </c>
      <c r="B149" s="3" t="n">
        <v>4</v>
      </c>
      <c r="C149" s="1" t="s">
        <v>1380</v>
      </c>
      <c r="D149" s="1" t="s">
        <v>1626</v>
      </c>
    </row>
    <row r="150" customFormat="false" ht="15" hidden="false" customHeight="false" outlineLevel="0" collapsed="false">
      <c r="A150" s="1" t="s">
        <v>1627</v>
      </c>
      <c r="B150" s="3" t="n">
        <v>0</v>
      </c>
      <c r="C150" s="1" t="s">
        <v>1380</v>
      </c>
      <c r="D150" s="1" t="s">
        <v>1628</v>
      </c>
    </row>
    <row r="151" customFormat="false" ht="15" hidden="false" customHeight="false" outlineLevel="0" collapsed="false">
      <c r="A151" s="1" t="s">
        <v>1629</v>
      </c>
      <c r="B151" s="3" t="n">
        <v>180</v>
      </c>
      <c r="C151" s="1" t="s">
        <v>1429</v>
      </c>
      <c r="D151" s="1" t="s">
        <v>1630</v>
      </c>
    </row>
    <row r="152" customFormat="false" ht="15" hidden="false" customHeight="false" outlineLevel="0" collapsed="false">
      <c r="A152" s="1" t="s">
        <v>1631</v>
      </c>
      <c r="B152" s="3" t="n">
        <v>90</v>
      </c>
      <c r="C152" s="1" t="s">
        <v>1429</v>
      </c>
      <c r="D152" s="1" t="s">
        <v>1630</v>
      </c>
    </row>
    <row r="153" customFormat="false" ht="15" hidden="false" customHeight="false" outlineLevel="0" collapsed="false">
      <c r="A153" s="1" t="s">
        <v>1632</v>
      </c>
      <c r="B153" s="3" t="n">
        <v>150</v>
      </c>
      <c r="C153" s="1" t="s">
        <v>1429</v>
      </c>
      <c r="D153" s="1" t="s">
        <v>1630</v>
      </c>
    </row>
    <row r="154" customFormat="false" ht="15" hidden="false" customHeight="false" outlineLevel="0" collapsed="false">
      <c r="A154" s="1" t="s">
        <v>1633</v>
      </c>
      <c r="B154" s="3" t="n">
        <v>0.04</v>
      </c>
      <c r="C154" s="1" t="s">
        <v>1587</v>
      </c>
      <c r="D154" s="1" t="s">
        <v>1634</v>
      </c>
    </row>
    <row r="155" customFormat="false" ht="15" hidden="false" customHeight="false" outlineLevel="0" collapsed="false">
      <c r="A155" s="1" t="s">
        <v>1635</v>
      </c>
      <c r="B155" s="3" t="n">
        <v>0.5</v>
      </c>
      <c r="C155" s="1" t="s">
        <v>1356</v>
      </c>
      <c r="D155" s="1" t="s">
        <v>1636</v>
      </c>
    </row>
    <row r="156" customFormat="false" ht="15" hidden="false" customHeight="false" outlineLevel="0" collapsed="false">
      <c r="A156" s="1" t="s">
        <v>1637</v>
      </c>
      <c r="B156" s="3" t="n">
        <v>0.7</v>
      </c>
      <c r="C156" s="1" t="s">
        <v>1356</v>
      </c>
      <c r="D156" s="1" t="s">
        <v>1638</v>
      </c>
    </row>
    <row r="157" customFormat="false" ht="15" hidden="false" customHeight="false" outlineLevel="0" collapsed="false">
      <c r="A157" s="1" t="s">
        <v>1639</v>
      </c>
      <c r="B157" s="3" t="n">
        <v>0.6</v>
      </c>
      <c r="C157" s="1" t="s">
        <v>1356</v>
      </c>
      <c r="D157" s="1" t="s">
        <v>1636</v>
      </c>
    </row>
    <row r="158" customFormat="false" ht="15" hidden="false" customHeight="false" outlineLevel="0" collapsed="false">
      <c r="A158" s="1" t="s">
        <v>1640</v>
      </c>
      <c r="B158" s="3" t="n">
        <v>0.45</v>
      </c>
      <c r="C158" s="1" t="s">
        <v>1356</v>
      </c>
      <c r="D158" s="1" t="s">
        <v>1641</v>
      </c>
    </row>
    <row r="159" customFormat="false" ht="15" hidden="false" customHeight="false" outlineLevel="0" collapsed="false">
      <c r="A159" s="1" t="s">
        <v>1642</v>
      </c>
    </row>
    <row r="160" customFormat="false" ht="15" hidden="false" customHeight="false" outlineLevel="0" collapsed="false">
      <c r="A160" s="1" t="s">
        <v>1643</v>
      </c>
      <c r="B160" s="3" t="n">
        <v>0.1</v>
      </c>
      <c r="C160" s="1" t="s">
        <v>1356</v>
      </c>
      <c r="D160" s="1" t="s">
        <v>1644</v>
      </c>
    </row>
    <row r="161" customFormat="false" ht="15" hidden="false" customHeight="false" outlineLevel="0" collapsed="false">
      <c r="A161" s="1" t="s">
        <v>1645</v>
      </c>
      <c r="B161" s="3" t="n">
        <v>0.05</v>
      </c>
      <c r="C161" s="1" t="s">
        <v>1646</v>
      </c>
      <c r="D161" s="1" t="s">
        <v>1647</v>
      </c>
    </row>
    <row r="162" customFormat="false" ht="15" hidden="false" customHeight="false" outlineLevel="0" collapsed="false">
      <c r="A162" s="1" t="s">
        <v>1648</v>
      </c>
      <c r="B162" s="3" t="n">
        <v>8</v>
      </c>
      <c r="C162" s="1" t="s">
        <v>1461</v>
      </c>
      <c r="D162" s="1" t="s">
        <v>1649</v>
      </c>
    </row>
    <row r="163" customFormat="false" ht="15" hidden="false" customHeight="false" outlineLevel="0" collapsed="false">
      <c r="A163" s="1" t="s">
        <v>1650</v>
      </c>
      <c r="B163" s="3" t="n">
        <v>0.5</v>
      </c>
      <c r="C163" s="1" t="s">
        <v>1414</v>
      </c>
      <c r="D163" s="1" t="s">
        <v>1651</v>
      </c>
    </row>
    <row r="164" customFormat="false" ht="15" hidden="false" customHeight="false" outlineLevel="0" collapsed="false">
      <c r="A164" s="1" t="s">
        <v>1652</v>
      </c>
      <c r="B164" s="3" t="n">
        <v>20</v>
      </c>
      <c r="C164" s="1" t="s">
        <v>1409</v>
      </c>
      <c r="D164" s="1" t="s">
        <v>1653</v>
      </c>
    </row>
    <row r="165" customFormat="false" ht="15" hidden="false" customHeight="false" outlineLevel="0" collapsed="false">
      <c r="A165" s="1" t="s">
        <v>1654</v>
      </c>
      <c r="B165" s="3" t="n">
        <v>0.12</v>
      </c>
      <c r="C165" s="1" t="s">
        <v>1414</v>
      </c>
      <c r="D165" s="1" t="s">
        <v>1655</v>
      </c>
    </row>
    <row r="166" customFormat="false" ht="15" hidden="false" customHeight="false" outlineLevel="0" collapsed="false">
      <c r="A166" s="1" t="s">
        <v>1656</v>
      </c>
      <c r="B166" s="3" t="n">
        <v>24</v>
      </c>
      <c r="C166" s="1" t="s">
        <v>1461</v>
      </c>
      <c r="D166" s="1" t="s">
        <v>1657</v>
      </c>
    </row>
    <row r="167" customFormat="false" ht="15" hidden="false" customHeight="false" outlineLevel="0" collapsed="false">
      <c r="A167" s="1" t="s">
        <v>1658</v>
      </c>
    </row>
    <row r="168" customFormat="false" ht="15" hidden="false" customHeight="false" outlineLevel="0" collapsed="false">
      <c r="A168" s="1" t="s">
        <v>1659</v>
      </c>
      <c r="B168" s="3" t="n">
        <v>6</v>
      </c>
      <c r="C168" s="1" t="s">
        <v>1409</v>
      </c>
      <c r="D168" s="1" t="s">
        <v>1660</v>
      </c>
    </row>
    <row r="169" customFormat="false" ht="15" hidden="false" customHeight="false" outlineLevel="0" collapsed="false">
      <c r="A169" s="1" t="s">
        <v>1661</v>
      </c>
      <c r="B169" s="3" t="n">
        <v>1.2</v>
      </c>
      <c r="C169" s="1" t="s">
        <v>1356</v>
      </c>
      <c r="D169" s="1" t="s">
        <v>1662</v>
      </c>
    </row>
    <row r="170" customFormat="false" ht="15" hidden="false" customHeight="false" outlineLevel="0" collapsed="false">
      <c r="A170" s="1" t="s">
        <v>1663</v>
      </c>
      <c r="B170" s="3" t="n">
        <v>2</v>
      </c>
      <c r="C170" s="1" t="s">
        <v>1380</v>
      </c>
      <c r="D170" s="1" t="s">
        <v>1664</v>
      </c>
    </row>
    <row r="171" customFormat="false" ht="15" hidden="false" customHeight="false" outlineLevel="0" collapsed="false">
      <c r="A171" s="1" t="s">
        <v>1665</v>
      </c>
      <c r="B171" s="3" t="n">
        <v>5</v>
      </c>
      <c r="C171" s="1" t="s">
        <v>1356</v>
      </c>
      <c r="D171" s="1" t="s">
        <v>1666</v>
      </c>
    </row>
    <row r="172" customFormat="false" ht="15" hidden="false" customHeight="false" outlineLevel="0" collapsed="false">
      <c r="A172" s="1" t="s">
        <v>1667</v>
      </c>
    </row>
    <row r="173" customFormat="false" ht="15" hidden="false" customHeight="false" outlineLevel="0" collapsed="false">
      <c r="A173" s="1" t="s">
        <v>1668</v>
      </c>
      <c r="B173" s="3" t="n">
        <v>1</v>
      </c>
      <c r="C173" s="1" t="s">
        <v>1356</v>
      </c>
      <c r="D173" s="1" t="s">
        <v>1669</v>
      </c>
    </row>
    <row r="174" customFormat="false" ht="15" hidden="false" customHeight="false" outlineLevel="0" collapsed="false">
      <c r="A174" s="1" t="s">
        <v>1670</v>
      </c>
      <c r="B174" s="3" t="n">
        <v>1.2</v>
      </c>
      <c r="C174" s="1" t="s">
        <v>1356</v>
      </c>
      <c r="D174" s="1" t="s">
        <v>1671</v>
      </c>
    </row>
    <row r="175" customFormat="false" ht="15" hidden="false" customHeight="false" outlineLevel="0" collapsed="false">
      <c r="A175" s="1" t="s">
        <v>1672</v>
      </c>
      <c r="B175" s="3" t="n">
        <v>0.8</v>
      </c>
      <c r="C175" s="1" t="s">
        <v>1356</v>
      </c>
      <c r="D175" s="1" t="s">
        <v>474</v>
      </c>
    </row>
    <row r="176" customFormat="false" ht="15" hidden="false" customHeight="false" outlineLevel="0" collapsed="false">
      <c r="A176" s="1" t="s">
        <v>1673</v>
      </c>
      <c r="B176" s="3" t="n">
        <v>1.3</v>
      </c>
      <c r="C176" s="1" t="s">
        <v>1356</v>
      </c>
      <c r="D176" s="1" t="s">
        <v>476</v>
      </c>
    </row>
    <row r="177" customFormat="false" ht="15" hidden="false" customHeight="false" outlineLevel="0" collapsed="false">
      <c r="A177" s="1" t="s">
        <v>1674</v>
      </c>
      <c r="B177" s="3" t="n">
        <v>1.1</v>
      </c>
      <c r="C177" s="1" t="s">
        <v>1356</v>
      </c>
      <c r="D177" s="1" t="s">
        <v>478</v>
      </c>
    </row>
    <row r="178" customFormat="false" ht="15" hidden="false" customHeight="false" outlineLevel="0" collapsed="false">
      <c r="A178" s="1" t="s">
        <v>1675</v>
      </c>
      <c r="B178" s="3" t="n">
        <v>0.7</v>
      </c>
      <c r="C178" s="1" t="s">
        <v>1356</v>
      </c>
      <c r="D178" s="1" t="s">
        <v>480</v>
      </c>
    </row>
    <row r="179" customFormat="false" ht="15" hidden="false" customHeight="false" outlineLevel="0" collapsed="false">
      <c r="A179" s="1" t="s">
        <v>1676</v>
      </c>
      <c r="B179" s="3" t="n">
        <v>0.9</v>
      </c>
      <c r="C179" s="1" t="s">
        <v>1356</v>
      </c>
      <c r="D179" s="1" t="s">
        <v>1669</v>
      </c>
    </row>
    <row r="180" customFormat="false" ht="15" hidden="false" customHeight="false" outlineLevel="0" collapsed="false">
      <c r="A180" s="1" t="s">
        <v>1677</v>
      </c>
      <c r="B180" s="3" t="n">
        <v>1</v>
      </c>
      <c r="C180" s="1" t="s">
        <v>1356</v>
      </c>
      <c r="D180" s="1" t="s">
        <v>1669</v>
      </c>
    </row>
    <row r="181" customFormat="false" ht="15" hidden="false" customHeight="false" outlineLevel="0" collapsed="false">
      <c r="A181" s="1" t="s">
        <v>1678</v>
      </c>
    </row>
    <row r="182" customFormat="false" ht="15" hidden="false" customHeight="false" outlineLevel="0" collapsed="false">
      <c r="A182" s="1" t="s">
        <v>1679</v>
      </c>
      <c r="B182" s="3" t="n">
        <v>2</v>
      </c>
      <c r="C182" s="1" t="s">
        <v>1680</v>
      </c>
      <c r="D182" s="1" t="s">
        <v>1681</v>
      </c>
    </row>
    <row r="183" customFormat="false" ht="15" hidden="false" customHeight="false" outlineLevel="0" collapsed="false">
      <c r="A183" s="1" t="s">
        <v>1682</v>
      </c>
      <c r="B183" s="3" t="n">
        <v>0.4</v>
      </c>
      <c r="C183" s="1" t="s">
        <v>1683</v>
      </c>
      <c r="D183" s="1" t="s">
        <v>1363</v>
      </c>
    </row>
    <row r="184" customFormat="false" ht="15" hidden="false" customHeight="false" outlineLevel="0" collapsed="false">
      <c r="A184" s="1" t="s">
        <v>1684</v>
      </c>
      <c r="B184" s="3" t="n">
        <v>60</v>
      </c>
      <c r="C184" s="1" t="s">
        <v>1399</v>
      </c>
      <c r="D184" s="1" t="s">
        <v>1685</v>
      </c>
    </row>
    <row r="185" customFormat="false" ht="15" hidden="false" customHeight="false" outlineLevel="0" collapsed="false">
      <c r="A185" s="1" t="s">
        <v>1686</v>
      </c>
      <c r="B185" s="3" t="n">
        <v>0.05</v>
      </c>
      <c r="C185" s="1" t="s">
        <v>1587</v>
      </c>
      <c r="D185" s="1" t="s">
        <v>1687</v>
      </c>
    </row>
    <row r="186" customFormat="false" ht="15" hidden="false" customHeight="false" outlineLevel="0" collapsed="false">
      <c r="A186" s="1" t="s">
        <v>1688</v>
      </c>
      <c r="B186" s="3" t="n">
        <v>120</v>
      </c>
      <c r="C186" s="1" t="s">
        <v>1429</v>
      </c>
      <c r="D186" s="1" t="s">
        <v>1630</v>
      </c>
    </row>
    <row r="187" customFormat="false" ht="15" hidden="false" customHeight="false" outlineLevel="0" collapsed="false">
      <c r="A187" s="1" t="s">
        <v>1689</v>
      </c>
      <c r="B187" s="3" t="n">
        <v>100</v>
      </c>
      <c r="C187" s="1" t="s">
        <v>1429</v>
      </c>
      <c r="D187" s="1" t="s">
        <v>1630</v>
      </c>
    </row>
    <row r="188" customFormat="false" ht="15" hidden="false" customHeight="false" outlineLevel="0" collapsed="false">
      <c r="A188" s="1" t="s">
        <v>1690</v>
      </c>
      <c r="B188" s="3" t="n">
        <v>80</v>
      </c>
      <c r="C188" s="1" t="s">
        <v>1429</v>
      </c>
      <c r="D188" s="1" t="s">
        <v>1630</v>
      </c>
    </row>
    <row r="189" customFormat="false" ht="15" hidden="false" customHeight="false" outlineLevel="0" collapsed="false">
      <c r="A189" s="1" t="s">
        <v>1691</v>
      </c>
    </row>
    <row r="190" customFormat="false" ht="15" hidden="false" customHeight="false" outlineLevel="0" collapsed="false">
      <c r="A190" s="1" t="s">
        <v>1692</v>
      </c>
      <c r="B190" s="3" t="n">
        <v>3</v>
      </c>
      <c r="C190" s="1" t="s">
        <v>1356</v>
      </c>
      <c r="D190" s="1" t="s">
        <v>1693</v>
      </c>
    </row>
    <row r="191" customFormat="false" ht="15" hidden="false" customHeight="false" outlineLevel="0" collapsed="false">
      <c r="A191" s="1" t="s">
        <v>1694</v>
      </c>
      <c r="B191" s="3" t="n">
        <v>0.075</v>
      </c>
      <c r="C191" s="1" t="s">
        <v>1695</v>
      </c>
      <c r="D191" s="1" t="s">
        <v>1696</v>
      </c>
    </row>
    <row r="192" customFormat="false" ht="15" hidden="false" customHeight="false" outlineLevel="0" collapsed="false">
      <c r="A192" s="1" t="s">
        <v>1697</v>
      </c>
      <c r="B192" s="3" t="n">
        <v>200</v>
      </c>
      <c r="C192" s="1" t="s">
        <v>1429</v>
      </c>
      <c r="D192" s="1" t="s">
        <v>1698</v>
      </c>
    </row>
    <row r="193" customFormat="false" ht="15" hidden="false" customHeight="false" outlineLevel="0" collapsed="false">
      <c r="A193" s="1" t="s">
        <v>1699</v>
      </c>
      <c r="B193" s="3" t="n">
        <v>1.2</v>
      </c>
      <c r="C193" s="1" t="s">
        <v>1356</v>
      </c>
      <c r="D193" s="1" t="s">
        <v>1363</v>
      </c>
    </row>
    <row r="194" customFormat="false" ht="15" hidden="false" customHeight="false" outlineLevel="0" collapsed="false">
      <c r="A194" s="1" t="s">
        <v>1700</v>
      </c>
      <c r="B194" s="3" t="n">
        <v>0.2</v>
      </c>
      <c r="C194" s="1" t="s">
        <v>1414</v>
      </c>
      <c r="D194" s="1" t="s">
        <v>1701</v>
      </c>
    </row>
    <row r="195" customFormat="false" ht="15" hidden="false" customHeight="false" outlineLevel="0" collapsed="false">
      <c r="A195" s="1" t="s">
        <v>1702</v>
      </c>
      <c r="B195" s="3" t="n">
        <v>0.006</v>
      </c>
      <c r="C195" s="1" t="s">
        <v>1587</v>
      </c>
      <c r="D195" s="1" t="s">
        <v>1363</v>
      </c>
    </row>
    <row r="196" customFormat="false" ht="15" hidden="false" customHeight="false" outlineLevel="0" collapsed="false">
      <c r="A196" s="1" t="s">
        <v>1703</v>
      </c>
      <c r="B196" s="3" t="n">
        <v>130</v>
      </c>
      <c r="C196" s="1" t="s">
        <v>1429</v>
      </c>
      <c r="D196" s="1" t="s">
        <v>1630</v>
      </c>
    </row>
    <row r="197" customFormat="false" ht="15" hidden="false" customHeight="false" outlineLevel="0" collapsed="false">
      <c r="A197" s="1" t="s">
        <v>1704</v>
      </c>
      <c r="B197" s="3" t="n">
        <v>110</v>
      </c>
      <c r="C197" s="1" t="s">
        <v>1429</v>
      </c>
      <c r="D197" s="1" t="s">
        <v>1630</v>
      </c>
    </row>
    <row r="198" customFormat="false" ht="15" hidden="false" customHeight="false" outlineLevel="0" collapsed="false">
      <c r="A198" s="1" t="s">
        <v>1705</v>
      </c>
    </row>
    <row r="199" customFormat="false" ht="15" hidden="false" customHeight="false" outlineLevel="0" collapsed="false">
      <c r="A199" s="1" t="s">
        <v>1706</v>
      </c>
      <c r="B199" s="3" t="n">
        <v>10000</v>
      </c>
      <c r="C199" s="1" t="s">
        <v>1409</v>
      </c>
      <c r="D199" s="1" t="s">
        <v>490</v>
      </c>
    </row>
    <row r="200" customFormat="false" ht="15" hidden="false" customHeight="false" outlineLevel="0" collapsed="false">
      <c r="A200" s="1" t="s">
        <v>1707</v>
      </c>
      <c r="B200" s="3" t="n">
        <v>0.05</v>
      </c>
      <c r="C200" s="1" t="s">
        <v>1708</v>
      </c>
      <c r="D200" s="1" t="s">
        <v>1709</v>
      </c>
    </row>
    <row r="201" customFormat="false" ht="15" hidden="false" customHeight="false" outlineLevel="0" collapsed="false">
      <c r="A201" s="1" t="s">
        <v>493</v>
      </c>
      <c r="B201" s="3" t="n">
        <v>0.15</v>
      </c>
      <c r="C201" s="1" t="s">
        <v>1414</v>
      </c>
      <c r="D201" s="1" t="s">
        <v>1710</v>
      </c>
    </row>
    <row r="202" customFormat="false" ht="15" hidden="false" customHeight="false" outlineLevel="0" collapsed="false">
      <c r="A202" s="1" t="s">
        <v>1711</v>
      </c>
      <c r="B202" s="3" t="n">
        <v>7</v>
      </c>
      <c r="C202" s="1" t="s">
        <v>1455</v>
      </c>
      <c r="D202" s="1" t="s">
        <v>1712</v>
      </c>
    </row>
    <row r="203" customFormat="false" ht="15" hidden="false" customHeight="false" outlineLevel="0" collapsed="false">
      <c r="A203" s="1" t="s">
        <v>1713</v>
      </c>
      <c r="B203" s="3" t="n">
        <v>0.05</v>
      </c>
      <c r="C203" s="1" t="s">
        <v>1414</v>
      </c>
      <c r="D203" s="1" t="s">
        <v>1714</v>
      </c>
    </row>
    <row r="204" customFormat="false" ht="15" hidden="false" customHeight="false" outlineLevel="0" collapsed="false">
      <c r="A204" s="1" t="s">
        <v>1715</v>
      </c>
      <c r="B204" s="3" t="n">
        <v>5</v>
      </c>
      <c r="C204" s="1" t="s">
        <v>1409</v>
      </c>
      <c r="D204" s="1" t="s">
        <v>1716</v>
      </c>
    </row>
    <row r="205" customFormat="false" ht="15" hidden="false" customHeight="false" outlineLevel="0" collapsed="false">
      <c r="A205" s="1" t="s">
        <v>1717</v>
      </c>
      <c r="B205" s="3" t="n">
        <v>1.5</v>
      </c>
      <c r="C205" s="1" t="s">
        <v>1356</v>
      </c>
      <c r="D205" s="1" t="s">
        <v>1718</v>
      </c>
    </row>
    <row r="206" customFormat="false" ht="15" hidden="false" customHeight="false" outlineLevel="0" collapsed="false">
      <c r="A206" s="1" t="s">
        <v>1719</v>
      </c>
      <c r="B206" s="3" t="n">
        <v>1000</v>
      </c>
      <c r="C206" s="1" t="s">
        <v>1720</v>
      </c>
      <c r="D206" s="1" t="s">
        <v>1721</v>
      </c>
    </row>
    <row r="207" customFormat="false" ht="15" hidden="false" customHeight="false" outlineLevel="0" collapsed="false">
      <c r="A207" s="1" t="s">
        <v>1722</v>
      </c>
      <c r="B207" s="3" t="n">
        <v>14</v>
      </c>
      <c r="C207" s="1" t="s">
        <v>1455</v>
      </c>
      <c r="D207" s="1" t="s">
        <v>1723</v>
      </c>
    </row>
    <row r="208" customFormat="false" ht="15" hidden="false" customHeight="false" outlineLevel="0" collapsed="false">
      <c r="A208" s="1" t="s">
        <v>1724</v>
      </c>
    </row>
    <row r="209" customFormat="false" ht="15" hidden="false" customHeight="false" outlineLevel="0" collapsed="false">
      <c r="A209" s="1" t="s">
        <v>581</v>
      </c>
      <c r="B209" s="3" t="n">
        <v>3</v>
      </c>
      <c r="C209" s="1" t="s">
        <v>1725</v>
      </c>
      <c r="D209" s="1" t="s">
        <v>1726</v>
      </c>
    </row>
    <row r="210" customFormat="false" ht="15" hidden="false" customHeight="false" outlineLevel="0" collapsed="false">
      <c r="A210" s="1" t="s">
        <v>1727</v>
      </c>
      <c r="B210" s="3" t="n">
        <v>0.6</v>
      </c>
      <c r="C210" s="1" t="s">
        <v>1414</v>
      </c>
      <c r="D210" s="1" t="s">
        <v>1728</v>
      </c>
    </row>
    <row r="211" customFormat="false" ht="15" hidden="false" customHeight="false" outlineLevel="0" collapsed="false">
      <c r="A211" s="1" t="s">
        <v>1729</v>
      </c>
      <c r="B211" s="3" t="n">
        <v>5</v>
      </c>
      <c r="C211" s="1" t="s">
        <v>1730</v>
      </c>
      <c r="D211" s="1" t="s">
        <v>1731</v>
      </c>
    </row>
    <row r="212" customFormat="false" ht="15" hidden="false" customHeight="false" outlineLevel="0" collapsed="false">
      <c r="A212" s="1" t="s">
        <v>590</v>
      </c>
      <c r="B212" s="3" t="n">
        <v>0.6</v>
      </c>
      <c r="C212" s="1" t="s">
        <v>1414</v>
      </c>
      <c r="D212" s="1" t="s">
        <v>1732</v>
      </c>
    </row>
    <row r="213" customFormat="false" ht="15" hidden="false" customHeight="false" outlineLevel="0" collapsed="false">
      <c r="A213" s="1" t="s">
        <v>593</v>
      </c>
      <c r="B213" s="3" t="n">
        <v>3</v>
      </c>
      <c r="C213" s="1" t="s">
        <v>1508</v>
      </c>
      <c r="D213" s="1" t="s">
        <v>1733</v>
      </c>
    </row>
    <row r="214" customFormat="false" ht="15" hidden="false" customHeight="false" outlineLevel="0" collapsed="false">
      <c r="A214" s="1" t="s">
        <v>1734</v>
      </c>
      <c r="B214" s="3" t="n">
        <v>0.15</v>
      </c>
      <c r="C214" s="1" t="s">
        <v>1414</v>
      </c>
      <c r="D214" s="1" t="s">
        <v>1735</v>
      </c>
    </row>
    <row r="215" customFormat="false" ht="15" hidden="false" customHeight="false" outlineLevel="0" collapsed="false">
      <c r="A215" s="1" t="s">
        <v>1736</v>
      </c>
      <c r="B215" s="3" t="n">
        <v>10</v>
      </c>
      <c r="C215" s="1" t="s">
        <v>1356</v>
      </c>
      <c r="D215" s="1" t="s">
        <v>1737</v>
      </c>
    </row>
    <row r="216" customFormat="false" ht="15" hidden="false" customHeight="false" outlineLevel="0" collapsed="false">
      <c r="A216" s="1" t="s">
        <v>1738</v>
      </c>
      <c r="B216" s="3" t="n">
        <v>7</v>
      </c>
      <c r="C216" s="1" t="s">
        <v>1455</v>
      </c>
      <c r="D216" s="1" t="s">
        <v>1739</v>
      </c>
    </row>
    <row r="217" customFormat="false" ht="15" hidden="false" customHeight="false" outlineLevel="0" collapsed="false">
      <c r="A217" s="1" t="s">
        <v>1740</v>
      </c>
      <c r="B217" s="3" t="n">
        <v>48</v>
      </c>
      <c r="C217" s="1" t="s">
        <v>1461</v>
      </c>
      <c r="D217" s="1" t="s">
        <v>1741</v>
      </c>
    </row>
    <row r="218" customFormat="false" ht="15" hidden="false" customHeight="false" outlineLevel="0" collapsed="false">
      <c r="A218" s="1" t="s">
        <v>608</v>
      </c>
      <c r="B218" s="3" t="n">
        <v>100</v>
      </c>
      <c r="C218" s="1" t="s">
        <v>1730</v>
      </c>
      <c r="D218" s="1" t="s">
        <v>1742</v>
      </c>
    </row>
    <row r="219" customFormat="false" ht="15" hidden="false" customHeight="false" outlineLevel="0" collapsed="false">
      <c r="A219" s="1" t="s">
        <v>1743</v>
      </c>
    </row>
    <row r="220" customFormat="false" ht="15" hidden="false" customHeight="false" outlineLevel="0" collapsed="false">
      <c r="A220" s="1" t="s">
        <v>1744</v>
      </c>
      <c r="B220" s="3" t="n">
        <v>15</v>
      </c>
      <c r="C220" s="1" t="s">
        <v>1745</v>
      </c>
      <c r="D220" s="1" t="s">
        <v>1746</v>
      </c>
    </row>
    <row r="221" customFormat="false" ht="15" hidden="false" customHeight="false" outlineLevel="0" collapsed="false">
      <c r="A221" s="1" t="s">
        <v>1747</v>
      </c>
      <c r="B221" s="3" t="n">
        <v>0.2</v>
      </c>
      <c r="C221" s="1" t="s">
        <v>1646</v>
      </c>
      <c r="D221" s="1" t="s">
        <v>1748</v>
      </c>
    </row>
    <row r="222" customFormat="false" ht="15" hidden="false" customHeight="false" outlineLevel="0" collapsed="false">
      <c r="A222" s="1" t="s">
        <v>1749</v>
      </c>
      <c r="B222" s="3" t="n">
        <v>0.5</v>
      </c>
      <c r="C222" s="1" t="s">
        <v>1414</v>
      </c>
      <c r="D222" s="1" t="s">
        <v>1750</v>
      </c>
    </row>
    <row r="223" customFormat="false" ht="15" hidden="false" customHeight="false" outlineLevel="0" collapsed="false">
      <c r="A223" s="1" t="s">
        <v>1751</v>
      </c>
      <c r="B223" s="3" t="n">
        <v>0.22</v>
      </c>
      <c r="C223" s="1" t="s">
        <v>1414</v>
      </c>
      <c r="D223" s="1" t="s">
        <v>1752</v>
      </c>
    </row>
    <row r="224" customFormat="false" ht="15" hidden="false" customHeight="false" outlineLevel="0" collapsed="false">
      <c r="A224" s="1" t="s">
        <v>1753</v>
      </c>
      <c r="B224" s="3" t="n">
        <v>1</v>
      </c>
      <c r="C224" s="1" t="s">
        <v>1380</v>
      </c>
      <c r="D224" s="1" t="s">
        <v>1754</v>
      </c>
    </row>
    <row r="225" customFormat="false" ht="15" hidden="false" customHeight="false" outlineLevel="0" collapsed="false">
      <c r="A225" s="1" t="s">
        <v>1755</v>
      </c>
      <c r="B225" s="3" t="n">
        <v>1</v>
      </c>
      <c r="C225" s="1" t="s">
        <v>1380</v>
      </c>
      <c r="D225" s="1" t="s">
        <v>1756</v>
      </c>
    </row>
    <row r="226" customFormat="false" ht="15" hidden="false" customHeight="false" outlineLevel="0" collapsed="false">
      <c r="A226" s="1" t="s">
        <v>1757</v>
      </c>
      <c r="B226" s="3" t="n">
        <v>6</v>
      </c>
      <c r="C226" s="1" t="s">
        <v>1380</v>
      </c>
      <c r="D226" s="1" t="s">
        <v>1758</v>
      </c>
    </row>
    <row r="227" customFormat="false" ht="15" hidden="false" customHeight="false" outlineLevel="0" collapsed="false">
      <c r="A227" s="1" t="s">
        <v>1759</v>
      </c>
      <c r="B227" s="3" t="n">
        <v>30</v>
      </c>
      <c r="C227" s="1" t="s">
        <v>1399</v>
      </c>
      <c r="D227" s="1" t="s">
        <v>1760</v>
      </c>
    </row>
    <row r="228" customFormat="false" ht="15" hidden="false" customHeight="false" outlineLevel="0" collapsed="false">
      <c r="A228" s="1" t="s">
        <v>1761</v>
      </c>
      <c r="B228" s="3" t="n">
        <v>3</v>
      </c>
      <c r="C228" s="1" t="s">
        <v>1380</v>
      </c>
      <c r="D228" s="1" t="s">
        <v>1762</v>
      </c>
    </row>
    <row r="229" customFormat="false" ht="15" hidden="false" customHeight="false" outlineLevel="0" collapsed="false">
      <c r="A229" s="1" t="s">
        <v>1763</v>
      </c>
      <c r="B229" s="3" t="n">
        <v>10</v>
      </c>
      <c r="C229" s="1" t="s">
        <v>1730</v>
      </c>
      <c r="D229" s="1" t="s">
        <v>1764</v>
      </c>
    </row>
    <row r="230" customFormat="false" ht="15" hidden="false" customHeight="false" outlineLevel="0" collapsed="false">
      <c r="A230" s="1" t="s">
        <v>386</v>
      </c>
    </row>
    <row r="231" customFormat="false" ht="15" hidden="false" customHeight="false" outlineLevel="0" collapsed="false">
      <c r="A231" s="1" t="s">
        <v>1765</v>
      </c>
      <c r="B231" s="3" t="n">
        <v>1</v>
      </c>
      <c r="C231" s="1" t="s">
        <v>1356</v>
      </c>
      <c r="D231" s="1" t="s">
        <v>1766</v>
      </c>
    </row>
    <row r="232" customFormat="false" ht="15" hidden="false" customHeight="false" outlineLevel="0" collapsed="false">
      <c r="A232" s="1" t="s">
        <v>1767</v>
      </c>
      <c r="B232" s="3" t="n">
        <v>1.5</v>
      </c>
      <c r="C232" s="1" t="s">
        <v>1356</v>
      </c>
      <c r="D232" s="1" t="s">
        <v>1768</v>
      </c>
    </row>
    <row r="233" customFormat="false" ht="15" hidden="false" customHeight="false" outlineLevel="0" collapsed="false">
      <c r="A233" s="1" t="s">
        <v>1769</v>
      </c>
      <c r="B233" s="3" t="n">
        <v>2.5</v>
      </c>
      <c r="C233" s="1" t="s">
        <v>1356</v>
      </c>
      <c r="D233" s="1" t="s">
        <v>1770</v>
      </c>
    </row>
    <row r="234" customFormat="false" ht="15" hidden="false" customHeight="false" outlineLevel="0" collapsed="false">
      <c r="A234" s="1" t="s">
        <v>1771</v>
      </c>
      <c r="B234" s="3" t="n">
        <v>10</v>
      </c>
      <c r="C234" s="1" t="s">
        <v>1399</v>
      </c>
      <c r="D234" s="1" t="s">
        <v>1772</v>
      </c>
    </row>
    <row r="235" customFormat="false" ht="15" hidden="false" customHeight="false" outlineLevel="0" collapsed="false">
      <c r="A235" s="1" t="s">
        <v>342</v>
      </c>
      <c r="B235" s="3" t="n">
        <v>30</v>
      </c>
      <c r="C235" s="1" t="s">
        <v>1399</v>
      </c>
      <c r="D235" s="1" t="s">
        <v>1773</v>
      </c>
    </row>
    <row r="236" customFormat="false" ht="15" hidden="false" customHeight="false" outlineLevel="0" collapsed="false">
      <c r="A236" s="1" t="s">
        <v>1774</v>
      </c>
      <c r="B236" s="3" t="n">
        <v>0.1</v>
      </c>
      <c r="C236" s="1" t="s">
        <v>1414</v>
      </c>
      <c r="D236" s="1" t="s">
        <v>1775</v>
      </c>
    </row>
    <row r="237" customFormat="false" ht="15" hidden="false" customHeight="false" outlineLevel="0" collapsed="false">
      <c r="A237" s="1" t="s">
        <v>1776</v>
      </c>
      <c r="B237" s="3" t="n">
        <v>0.2</v>
      </c>
      <c r="C237" s="1" t="s">
        <v>1414</v>
      </c>
      <c r="D237" s="1" t="s">
        <v>1777</v>
      </c>
    </row>
    <row r="238" customFormat="false" ht="15" hidden="false" customHeight="false" outlineLevel="0" collapsed="false">
      <c r="A238" s="1" t="s">
        <v>1778</v>
      </c>
      <c r="B238" s="3" t="n">
        <v>0.2</v>
      </c>
      <c r="C238" s="1" t="s">
        <v>1414</v>
      </c>
      <c r="D238" s="1" t="s">
        <v>1779</v>
      </c>
    </row>
    <row r="239" customFormat="false" ht="15" hidden="false" customHeight="false" outlineLevel="0" collapsed="false">
      <c r="A239" s="1" t="s">
        <v>1780</v>
      </c>
    </row>
    <row r="240" customFormat="false" ht="15" hidden="false" customHeight="false" outlineLevel="0" collapsed="false">
      <c r="A240" s="1" t="s">
        <v>1781</v>
      </c>
      <c r="B240" s="3" t="n">
        <v>0.5</v>
      </c>
      <c r="C240" s="1" t="s">
        <v>1782</v>
      </c>
      <c r="D240" s="1" t="s">
        <v>1783</v>
      </c>
    </row>
    <row r="241" customFormat="false" ht="15" hidden="false" customHeight="false" outlineLevel="0" collapsed="false">
      <c r="A241" s="1" t="s">
        <v>1784</v>
      </c>
      <c r="B241" s="3" t="n">
        <v>0.02</v>
      </c>
      <c r="C241" s="1" t="s">
        <v>1785</v>
      </c>
      <c r="D241" s="1" t="s">
        <v>1786</v>
      </c>
    </row>
    <row r="242" customFormat="false" ht="15" hidden="false" customHeight="false" outlineLevel="0" collapsed="false">
      <c r="A242" s="1" t="s">
        <v>1787</v>
      </c>
      <c r="B242" s="3" t="n">
        <v>0.03</v>
      </c>
      <c r="C242" s="1" t="s">
        <v>1788</v>
      </c>
      <c r="D242" s="1" t="s">
        <v>1789</v>
      </c>
    </row>
    <row r="243" customFormat="false" ht="15" hidden="false" customHeight="false" outlineLevel="0" collapsed="false">
      <c r="A243" s="1" t="s">
        <v>1790</v>
      </c>
      <c r="B243" s="3" t="n">
        <v>1.5</v>
      </c>
      <c r="C243" s="1" t="s">
        <v>1356</v>
      </c>
      <c r="D243" s="1" t="s">
        <v>1791</v>
      </c>
    </row>
    <row r="244" customFormat="false" ht="15" hidden="false" customHeight="false" outlineLevel="0" collapsed="false">
      <c r="A244" s="1" t="s">
        <v>1792</v>
      </c>
      <c r="B244" s="3" t="n">
        <v>1</v>
      </c>
      <c r="C244" s="1" t="s">
        <v>1356</v>
      </c>
      <c r="D244" s="1" t="s">
        <v>1791</v>
      </c>
    </row>
    <row r="245" customFormat="false" ht="15" hidden="false" customHeight="false" outlineLevel="0" collapsed="false">
      <c r="A245" s="1" t="s">
        <v>1793</v>
      </c>
      <c r="B245" s="3" t="n">
        <v>0.5</v>
      </c>
      <c r="C245" s="1" t="s">
        <v>1356</v>
      </c>
      <c r="D245" s="1" t="s">
        <v>1791</v>
      </c>
    </row>
    <row r="246" customFormat="false" ht="15" hidden="false" customHeight="false" outlineLevel="0" collapsed="false">
      <c r="A246" s="1" t="s">
        <v>1794</v>
      </c>
      <c r="B246" s="3" t="n">
        <v>0.1</v>
      </c>
      <c r="C246" s="1" t="s">
        <v>1414</v>
      </c>
      <c r="D246" s="1" t="s">
        <v>1795</v>
      </c>
    </row>
    <row r="247" customFormat="false" ht="15" hidden="false" customHeight="false" outlineLevel="0" collapsed="false">
      <c r="A247" s="1" t="s">
        <v>1796</v>
      </c>
      <c r="B247" s="3" t="n">
        <v>0.5</v>
      </c>
      <c r="C247" s="1" t="s">
        <v>1414</v>
      </c>
      <c r="D247" s="1" t="s">
        <v>1797</v>
      </c>
    </row>
    <row r="248" customFormat="false" ht="15" hidden="false" customHeight="false" outlineLevel="0" collapsed="false">
      <c r="A248" s="1" t="s">
        <v>1798</v>
      </c>
      <c r="B248" s="3" t="n">
        <v>1.5</v>
      </c>
      <c r="C248" s="1" t="s">
        <v>1356</v>
      </c>
      <c r="D248" s="1" t="s">
        <v>1799</v>
      </c>
    </row>
    <row r="249" customFormat="false" ht="15" hidden="false" customHeight="false" outlineLevel="0" collapsed="false">
      <c r="A249" s="1" t="s">
        <v>1800</v>
      </c>
      <c r="B249" s="3" t="n">
        <v>0.3</v>
      </c>
      <c r="C249" s="1" t="s">
        <v>1414</v>
      </c>
      <c r="D249" s="1" t="s">
        <v>1801</v>
      </c>
    </row>
    <row r="250" customFormat="false" ht="15" hidden="false" customHeight="false" outlineLevel="0" collapsed="false">
      <c r="A250" s="1" t="s">
        <v>1802</v>
      </c>
      <c r="B250" s="3" t="n">
        <v>15</v>
      </c>
      <c r="C250" s="1" t="s">
        <v>1380</v>
      </c>
      <c r="D250" s="1" t="s">
        <v>1803</v>
      </c>
    </row>
    <row r="251" customFormat="false" ht="15" hidden="false" customHeight="false" outlineLevel="0" collapsed="false">
      <c r="A251" s="1" t="s">
        <v>1804</v>
      </c>
      <c r="B251" s="3" t="n">
        <v>20</v>
      </c>
      <c r="C251" s="1" t="s">
        <v>1380</v>
      </c>
      <c r="D251" s="1" t="s">
        <v>1805</v>
      </c>
    </row>
    <row r="252" customFormat="false" ht="15" hidden="false" customHeight="false" outlineLevel="0" collapsed="false">
      <c r="A252" s="1" t="s">
        <v>1305</v>
      </c>
    </row>
    <row r="253" customFormat="false" ht="15" hidden="false" customHeight="false" outlineLevel="0" collapsed="false">
      <c r="A253" s="1" t="s">
        <v>1806</v>
      </c>
      <c r="B253" s="3" t="n">
        <v>3</v>
      </c>
      <c r="C253" s="1" t="s">
        <v>1380</v>
      </c>
      <c r="D253" s="1" t="s">
        <v>1807</v>
      </c>
    </row>
    <row r="254" customFormat="false" ht="15" hidden="false" customHeight="false" outlineLevel="0" collapsed="false">
      <c r="A254" s="1" t="s">
        <v>1808</v>
      </c>
      <c r="B254" s="3" t="n">
        <v>3</v>
      </c>
      <c r="C254" s="1" t="s">
        <v>1380</v>
      </c>
      <c r="D254" s="1" t="s">
        <v>1809</v>
      </c>
    </row>
    <row r="255" customFormat="false" ht="15" hidden="false" customHeight="false" outlineLevel="0" collapsed="false">
      <c r="A255" s="1" t="s">
        <v>1810</v>
      </c>
      <c r="B255" s="3" t="n">
        <v>2</v>
      </c>
      <c r="C255" s="1" t="s">
        <v>1399</v>
      </c>
      <c r="D255" s="1" t="s">
        <v>1811</v>
      </c>
    </row>
    <row r="256" customFormat="false" ht="15" hidden="false" customHeight="false" outlineLevel="0" collapsed="false">
      <c r="A256" s="1" t="s">
        <v>1812</v>
      </c>
      <c r="B256" s="3" t="n">
        <v>60</v>
      </c>
      <c r="C256" s="1" t="s">
        <v>1399</v>
      </c>
      <c r="D256" s="1" t="s">
        <v>1813</v>
      </c>
    </row>
    <row r="257" customFormat="false" ht="15" hidden="false" customHeight="false" outlineLevel="0" collapsed="false">
      <c r="A257" s="1" t="s">
        <v>1814</v>
      </c>
      <c r="B257" s="3" t="n">
        <v>5</v>
      </c>
      <c r="C257" s="1" t="s">
        <v>1356</v>
      </c>
      <c r="D257" s="1" t="s">
        <v>1815</v>
      </c>
    </row>
    <row r="258" customFormat="false" ht="15" hidden="false" customHeight="false" outlineLevel="0" collapsed="false">
      <c r="A258" s="1" t="s">
        <v>1816</v>
      </c>
      <c r="B258" s="3" t="n">
        <v>0.1</v>
      </c>
      <c r="C258" s="1" t="s">
        <v>1646</v>
      </c>
      <c r="D258" s="1" t="s">
        <v>1817</v>
      </c>
    </row>
    <row r="259" customFormat="false" ht="15" hidden="false" customHeight="false" outlineLevel="0" collapsed="false">
      <c r="A259" s="1" t="s">
        <v>1818</v>
      </c>
      <c r="B259" s="3" t="n">
        <v>20</v>
      </c>
      <c r="C259" s="1" t="s">
        <v>1819</v>
      </c>
      <c r="D259" s="1" t="s">
        <v>1820</v>
      </c>
    </row>
    <row r="260" customFormat="false" ht="15" hidden="false" customHeight="false" outlineLevel="0" collapsed="false">
      <c r="A260" s="1" t="s">
        <v>1821</v>
      </c>
      <c r="B260" s="3" t="n">
        <v>0.3</v>
      </c>
      <c r="C260" s="1" t="s">
        <v>1356</v>
      </c>
      <c r="D260" s="1" t="s">
        <v>1822</v>
      </c>
    </row>
    <row r="261" customFormat="false" ht="15" hidden="false" customHeight="false" outlineLevel="0" collapsed="false">
      <c r="A261" s="1" t="s">
        <v>1823</v>
      </c>
      <c r="B261" s="3" t="n">
        <v>0.1</v>
      </c>
      <c r="C261" s="1" t="s">
        <v>1824</v>
      </c>
      <c r="D261" s="1" t="s">
        <v>1825</v>
      </c>
    </row>
    <row r="262" customFormat="false" ht="15" hidden="false" customHeight="false" outlineLevel="0" collapsed="false">
      <c r="A262" s="1" t="s">
        <v>1826</v>
      </c>
      <c r="B262" s="3" t="n">
        <v>4</v>
      </c>
      <c r="C262" s="1" t="s">
        <v>1730</v>
      </c>
      <c r="D262" s="1" t="s">
        <v>1827</v>
      </c>
    </row>
    <row r="263" customFormat="false" ht="15" hidden="false" customHeight="false" outlineLevel="0" collapsed="false">
      <c r="A263" s="1" t="s">
        <v>1828</v>
      </c>
      <c r="B263" s="3" t="n">
        <v>0.1</v>
      </c>
      <c r="C263" s="1" t="s">
        <v>1414</v>
      </c>
      <c r="D263" s="1" t="s">
        <v>1829</v>
      </c>
    </row>
    <row r="264" customFormat="false" ht="15" hidden="false" customHeight="false" outlineLevel="0" collapsed="false">
      <c r="A264" s="1" t="s">
        <v>1830</v>
      </c>
    </row>
    <row r="265" customFormat="false" ht="15" hidden="false" customHeight="false" outlineLevel="0" collapsed="false">
      <c r="A265" s="1" t="s">
        <v>1831</v>
      </c>
      <c r="B265" s="3" t="n">
        <v>20</v>
      </c>
      <c r="C265" s="1" t="s">
        <v>1380</v>
      </c>
      <c r="D265" s="1" t="s">
        <v>1832</v>
      </c>
    </row>
    <row r="266" customFormat="false" ht="15" hidden="false" customHeight="false" outlineLevel="0" collapsed="false">
      <c r="A266" s="1" t="s">
        <v>1833</v>
      </c>
      <c r="B266" s="3" t="n">
        <v>0.006</v>
      </c>
      <c r="C266" s="1" t="s">
        <v>1834</v>
      </c>
      <c r="D266" s="1" t="s">
        <v>1835</v>
      </c>
    </row>
    <row r="267" customFormat="false" ht="15" hidden="false" customHeight="false" outlineLevel="0" collapsed="false">
      <c r="A267" s="1" t="s">
        <v>1836</v>
      </c>
      <c r="B267" s="3" t="n">
        <v>0.4</v>
      </c>
      <c r="C267" s="1" t="s">
        <v>1414</v>
      </c>
      <c r="D267" s="1" t="s">
        <v>1837</v>
      </c>
    </row>
    <row r="268" customFormat="false" ht="15" hidden="false" customHeight="false" outlineLevel="0" collapsed="false">
      <c r="A268" s="1" t="s">
        <v>1838</v>
      </c>
      <c r="B268" s="3" t="n">
        <v>0.15</v>
      </c>
      <c r="C268" s="1" t="s">
        <v>1414</v>
      </c>
      <c r="D268" s="1" t="s">
        <v>1839</v>
      </c>
    </row>
    <row r="269" customFormat="false" ht="15" hidden="false" customHeight="false" outlineLevel="0" collapsed="false">
      <c r="A269" s="1" t="s">
        <v>1840</v>
      </c>
      <c r="B269" s="3" t="n">
        <v>2</v>
      </c>
      <c r="C269" s="1" t="s">
        <v>1356</v>
      </c>
      <c r="D269" s="1" t="s">
        <v>1841</v>
      </c>
    </row>
    <row r="270" customFormat="false" ht="15" hidden="false" customHeight="false" outlineLevel="0" collapsed="false">
      <c r="A270" s="1" t="s">
        <v>1842</v>
      </c>
      <c r="B270" s="3" t="n">
        <v>0.2</v>
      </c>
      <c r="C270" s="1" t="s">
        <v>1414</v>
      </c>
      <c r="D270" s="1" t="s">
        <v>1843</v>
      </c>
    </row>
    <row r="271" customFormat="false" ht="15" hidden="false" customHeight="false" outlineLevel="0" collapsed="false">
      <c r="A271" s="1" t="s">
        <v>1844</v>
      </c>
    </row>
    <row r="272" customFormat="false" ht="15" hidden="false" customHeight="false" outlineLevel="0" collapsed="false">
      <c r="A272" s="1" t="s">
        <v>1845</v>
      </c>
      <c r="B272" s="3" t="n">
        <v>2</v>
      </c>
      <c r="C272" s="1" t="s">
        <v>1846</v>
      </c>
      <c r="D272" s="1" t="s">
        <v>1847</v>
      </c>
    </row>
    <row r="273" customFormat="false" ht="15" hidden="false" customHeight="false" outlineLevel="0" collapsed="false">
      <c r="A273" s="1" t="s">
        <v>1848</v>
      </c>
      <c r="B273" s="3" t="n">
        <v>180</v>
      </c>
      <c r="C273" s="1" t="s">
        <v>1399</v>
      </c>
      <c r="D273" s="1" t="s">
        <v>1849</v>
      </c>
    </row>
    <row r="274" customFormat="false" ht="15" hidden="false" customHeight="false" outlineLevel="0" collapsed="false">
      <c r="A274" s="1" t="s">
        <v>1850</v>
      </c>
    </row>
    <row r="275" customFormat="false" ht="15" hidden="false" customHeight="false" outlineLevel="0" collapsed="false">
      <c r="A275" s="1" t="s">
        <v>1851</v>
      </c>
      <c r="B275" s="3" t="n">
        <v>1.5</v>
      </c>
      <c r="C275" s="1" t="s">
        <v>1852</v>
      </c>
      <c r="D275" s="1" t="s">
        <v>1853</v>
      </c>
    </row>
    <row r="276" customFormat="false" ht="15" hidden="false" customHeight="false" outlineLevel="0" collapsed="false">
      <c r="A276" s="1" t="s">
        <v>1854</v>
      </c>
      <c r="B276" s="3" t="n">
        <v>1.1</v>
      </c>
      <c r="C276" s="1" t="s">
        <v>1852</v>
      </c>
      <c r="D276" s="1" t="s">
        <v>1855</v>
      </c>
    </row>
    <row r="277" customFormat="false" ht="15" hidden="false" customHeight="false" outlineLevel="0" collapsed="false">
      <c r="A277" s="1" t="s">
        <v>1856</v>
      </c>
      <c r="B277" s="3" t="n">
        <v>0.9</v>
      </c>
      <c r="C277" s="1" t="s">
        <v>1852</v>
      </c>
      <c r="D277" s="1" t="s">
        <v>1857</v>
      </c>
    </row>
    <row r="278" customFormat="false" ht="15" hidden="false" customHeight="false" outlineLevel="0" collapsed="false">
      <c r="A278" s="1" t="s">
        <v>1858</v>
      </c>
      <c r="B278" s="3" t="n">
        <v>0.15</v>
      </c>
      <c r="C278" s="1" t="s">
        <v>1414</v>
      </c>
      <c r="D278" s="1" t="s">
        <v>1859</v>
      </c>
    </row>
    <row r="279" customFormat="false" ht="15" hidden="false" customHeight="false" outlineLevel="0" collapsed="false">
      <c r="A279" s="1" t="s">
        <v>1860</v>
      </c>
      <c r="B279" s="3" t="n">
        <v>0.2</v>
      </c>
      <c r="C279" s="1" t="s">
        <v>1414</v>
      </c>
      <c r="D279" s="1" t="s">
        <v>1861</v>
      </c>
    </row>
    <row r="280" customFormat="false" ht="15" hidden="false" customHeight="false" outlineLevel="0" collapsed="false">
      <c r="A280" s="1" t="s">
        <v>1862</v>
      </c>
      <c r="B280" s="3" t="n">
        <v>0.8</v>
      </c>
      <c r="C280" s="1" t="s">
        <v>1414</v>
      </c>
      <c r="D280" s="1" t="s">
        <v>1863</v>
      </c>
    </row>
    <row r="281" customFormat="false" ht="15" hidden="false" customHeight="false" outlineLevel="0" collapsed="false">
      <c r="A281" s="1" t="s">
        <v>1864</v>
      </c>
      <c r="B281" s="3" t="n">
        <v>0.01</v>
      </c>
      <c r="C281" s="1" t="s">
        <v>1587</v>
      </c>
      <c r="D281" s="1" t="s">
        <v>1865</v>
      </c>
    </row>
    <row r="282" customFormat="false" ht="15" hidden="false" customHeight="false" outlineLevel="0" collapsed="false">
      <c r="A282" s="1" t="s">
        <v>1866</v>
      </c>
      <c r="B282" s="3" t="n">
        <v>3</v>
      </c>
      <c r="C282" s="1" t="s">
        <v>1409</v>
      </c>
      <c r="D282" s="1" t="s">
        <v>1867</v>
      </c>
    </row>
    <row r="283" customFormat="false" ht="15" hidden="false" customHeight="false" outlineLevel="0" collapsed="false">
      <c r="A283" s="1" t="s">
        <v>1868</v>
      </c>
      <c r="B283" s="3" t="n">
        <v>0.55</v>
      </c>
      <c r="C283" s="1" t="s">
        <v>1356</v>
      </c>
      <c r="D283" s="1" t="s">
        <v>1869</v>
      </c>
    </row>
    <row r="284" customFormat="false" ht="15" hidden="false" customHeight="false" outlineLevel="0" collapsed="false">
      <c r="A284" s="1" t="s">
        <v>1870</v>
      </c>
      <c r="B284" s="3" t="n">
        <v>0.5</v>
      </c>
      <c r="C284" s="1" t="s">
        <v>1356</v>
      </c>
      <c r="D284" s="1" t="s">
        <v>1867</v>
      </c>
    </row>
    <row r="285" customFormat="false" ht="15" hidden="false" customHeight="false" outlineLevel="0" collapsed="false">
      <c r="A285" s="1" t="s">
        <v>1871</v>
      </c>
      <c r="B285" s="3" t="n">
        <v>0.25</v>
      </c>
      <c r="C285" s="1" t="s">
        <v>1356</v>
      </c>
      <c r="D285" s="1" t="s">
        <v>1867</v>
      </c>
    </row>
    <row r="286" customFormat="false" ht="15" hidden="false" customHeight="false" outlineLevel="0" collapsed="false">
      <c r="A286" s="1" t="s">
        <v>1872</v>
      </c>
      <c r="B286" s="3" t="n">
        <v>0.7</v>
      </c>
      <c r="C286" s="1" t="s">
        <v>1356</v>
      </c>
      <c r="D286" s="1" t="s">
        <v>1873</v>
      </c>
    </row>
    <row r="287" customFormat="false" ht="15" hidden="false" customHeight="false" outlineLevel="0" collapsed="false">
      <c r="A287" s="1" t="s">
        <v>1874</v>
      </c>
      <c r="B287" s="3" t="n">
        <v>1.3</v>
      </c>
      <c r="C287" s="1" t="s">
        <v>1356</v>
      </c>
      <c r="D287" s="1" t="s">
        <v>1875</v>
      </c>
    </row>
    <row r="288" customFormat="false" ht="15" hidden="false" customHeight="false" outlineLevel="0" collapsed="false">
      <c r="A288" s="1" t="s">
        <v>1876</v>
      </c>
      <c r="B288" s="3" t="n">
        <v>0.5</v>
      </c>
      <c r="C288" s="1" t="s">
        <v>1356</v>
      </c>
      <c r="D288" s="1" t="s">
        <v>1877</v>
      </c>
    </row>
    <row r="289" customFormat="false" ht="15" hidden="false" customHeight="false" outlineLevel="0" collapsed="false">
      <c r="A289" s="1" t="s">
        <v>1878</v>
      </c>
      <c r="B289" s="3" t="n">
        <v>1.5</v>
      </c>
      <c r="C289" s="1" t="s">
        <v>1356</v>
      </c>
      <c r="D289" s="1" t="s">
        <v>1877</v>
      </c>
    </row>
    <row r="290" customFormat="false" ht="15" hidden="false" customHeight="false" outlineLevel="0" collapsed="false">
      <c r="A290" s="1" t="s">
        <v>1879</v>
      </c>
      <c r="B290" s="3" t="n">
        <v>0.3</v>
      </c>
      <c r="C290" s="1" t="s">
        <v>1356</v>
      </c>
      <c r="D290" s="1" t="s">
        <v>1877</v>
      </c>
    </row>
    <row r="291" customFormat="false" ht="15" hidden="false" customHeight="false" outlineLevel="0" collapsed="false">
      <c r="A291" s="1" t="s">
        <v>1880</v>
      </c>
      <c r="B291" s="3" t="n">
        <v>1.7</v>
      </c>
      <c r="C291" s="1" t="s">
        <v>1356</v>
      </c>
      <c r="D291" s="1" t="s">
        <v>1877</v>
      </c>
    </row>
    <row r="292" customFormat="false" ht="15" hidden="false" customHeight="false" outlineLevel="0" collapsed="false">
      <c r="A292" s="1" t="s">
        <v>1881</v>
      </c>
      <c r="B292" s="3" t="n">
        <v>0.5</v>
      </c>
      <c r="C292" s="1" t="s">
        <v>1356</v>
      </c>
      <c r="D292" s="1" t="s">
        <v>1882</v>
      </c>
    </row>
    <row r="293" customFormat="false" ht="15" hidden="false" customHeight="false" outlineLevel="0" collapsed="false">
      <c r="A293" s="1" t="s">
        <v>1883</v>
      </c>
      <c r="B293" s="3" t="n">
        <v>24</v>
      </c>
      <c r="C293" s="1" t="s">
        <v>1461</v>
      </c>
      <c r="D293" s="1" t="s">
        <v>1884</v>
      </c>
    </row>
    <row r="294" customFormat="false" ht="15" hidden="false" customHeight="false" outlineLevel="0" collapsed="false">
      <c r="A294" s="1" t="s">
        <v>1885</v>
      </c>
    </row>
    <row r="295" customFormat="false" ht="15" hidden="false" customHeight="false" outlineLevel="0" collapsed="false">
      <c r="A295" s="1" t="s">
        <v>1886</v>
      </c>
      <c r="B295" s="3" t="n">
        <v>4</v>
      </c>
      <c r="C295" s="1" t="s">
        <v>1380</v>
      </c>
      <c r="D295" s="1" t="s">
        <v>1887</v>
      </c>
    </row>
    <row r="296" customFormat="false" ht="15" hidden="false" customHeight="false" outlineLevel="0" collapsed="false">
      <c r="A296" s="1" t="s">
        <v>1888</v>
      </c>
      <c r="B296" s="3" t="n">
        <v>0.7</v>
      </c>
      <c r="C296" s="1" t="s">
        <v>1356</v>
      </c>
      <c r="D296" s="1" t="s">
        <v>1889</v>
      </c>
    </row>
    <row r="297" customFormat="false" ht="15" hidden="false" customHeight="false" outlineLevel="0" collapsed="false">
      <c r="A297" s="1" t="s">
        <v>1890</v>
      </c>
      <c r="B297" s="3" t="n">
        <v>1</v>
      </c>
      <c r="C297" s="1" t="s">
        <v>1356</v>
      </c>
      <c r="D297" s="1" t="s">
        <v>1889</v>
      </c>
    </row>
    <row r="298" customFormat="false" ht="15" hidden="false" customHeight="false" outlineLevel="0" collapsed="false">
      <c r="A298" s="1" t="s">
        <v>1891</v>
      </c>
      <c r="B298" s="3" t="n">
        <v>1.3</v>
      </c>
      <c r="C298" s="1" t="s">
        <v>1356</v>
      </c>
      <c r="D298" s="1" t="s">
        <v>1889</v>
      </c>
    </row>
    <row r="299" customFormat="false" ht="15" hidden="false" customHeight="false" outlineLevel="0" collapsed="false">
      <c r="A299" s="1" t="s">
        <v>1892</v>
      </c>
      <c r="B299" s="3" t="n">
        <v>0.1</v>
      </c>
      <c r="C299" s="1" t="s">
        <v>1414</v>
      </c>
      <c r="D299" s="1" t="s">
        <v>1893</v>
      </c>
    </row>
    <row r="300" customFormat="false" ht="15" hidden="false" customHeight="false" outlineLevel="0" collapsed="false">
      <c r="A300" s="1" t="s">
        <v>1894</v>
      </c>
    </row>
    <row r="301" customFormat="false" ht="15" hidden="false" customHeight="false" outlineLevel="0" collapsed="false">
      <c r="A301" s="1" t="s">
        <v>1895</v>
      </c>
      <c r="B301" s="3" t="n">
        <v>0.8</v>
      </c>
      <c r="C301" s="1" t="s">
        <v>1414</v>
      </c>
      <c r="D301" s="1" t="s">
        <v>1896</v>
      </c>
    </row>
    <row r="302" customFormat="false" ht="15" hidden="false" customHeight="false" outlineLevel="0" collapsed="false">
      <c r="A302" s="1" t="s">
        <v>1897</v>
      </c>
      <c r="B302" s="3" t="n">
        <v>10</v>
      </c>
      <c r="C302" s="1" t="s">
        <v>1380</v>
      </c>
      <c r="D302" s="1" t="s">
        <v>1898</v>
      </c>
    </row>
    <row r="303" customFormat="false" ht="15" hidden="false" customHeight="false" outlineLevel="0" collapsed="false">
      <c r="A303" s="1" t="s">
        <v>1899</v>
      </c>
      <c r="B303" s="3" t="n">
        <v>0.5</v>
      </c>
      <c r="C303" s="1" t="s">
        <v>1356</v>
      </c>
      <c r="D303" s="1" t="s">
        <v>1900</v>
      </c>
    </row>
    <row r="304" customFormat="false" ht="15" hidden="false" customHeight="false" outlineLevel="0" collapsed="false">
      <c r="A304" s="1" t="s">
        <v>1901</v>
      </c>
      <c r="B304" s="3" t="n">
        <v>5</v>
      </c>
      <c r="C304" s="1" t="s">
        <v>1399</v>
      </c>
      <c r="D304" s="1" t="s">
        <v>1902</v>
      </c>
    </row>
    <row r="305" customFormat="false" ht="15" hidden="false" customHeight="false" outlineLevel="0" collapsed="false">
      <c r="A305" s="1" t="s">
        <v>1903</v>
      </c>
      <c r="B305" s="3" t="n">
        <v>0.01</v>
      </c>
      <c r="C305" s="1" t="s">
        <v>1587</v>
      </c>
      <c r="D305" s="1" t="s">
        <v>1904</v>
      </c>
    </row>
    <row r="306" customFormat="false" ht="15" hidden="false" customHeight="false" outlineLevel="0" collapsed="false">
      <c r="A306" s="1" t="s">
        <v>1905</v>
      </c>
      <c r="B306" s="3" t="n">
        <v>0.6</v>
      </c>
      <c r="C306" s="1" t="s">
        <v>1414</v>
      </c>
      <c r="D306" s="1" t="s">
        <v>1906</v>
      </c>
    </row>
    <row r="307" customFormat="false" ht="15" hidden="false" customHeight="false" outlineLevel="0" collapsed="false">
      <c r="A307" s="1" t="s">
        <v>1907</v>
      </c>
      <c r="B307" s="3" t="n">
        <v>0.3</v>
      </c>
      <c r="C307" s="1" t="s">
        <v>1414</v>
      </c>
      <c r="D307" s="1" t="s">
        <v>1908</v>
      </c>
    </row>
    <row r="308" customFormat="false" ht="15" hidden="false" customHeight="false" outlineLevel="0" collapsed="false">
      <c r="A308" s="1" t="s">
        <v>1909</v>
      </c>
      <c r="B308" s="3" t="n">
        <v>8</v>
      </c>
      <c r="C308" s="1" t="s">
        <v>1461</v>
      </c>
      <c r="D308" s="1" t="s">
        <v>1910</v>
      </c>
    </row>
    <row r="309" customFormat="false" ht="15" hidden="false" customHeight="false" outlineLevel="0" collapsed="false">
      <c r="A309" s="1" t="s">
        <v>1911</v>
      </c>
      <c r="B309" s="3" t="n">
        <v>16</v>
      </c>
      <c r="C309" s="1" t="s">
        <v>1461</v>
      </c>
      <c r="D309" s="1" t="s">
        <v>1912</v>
      </c>
    </row>
    <row r="310" customFormat="false" ht="15" hidden="false" customHeight="false" outlineLevel="0" collapsed="false">
      <c r="A310" s="1" t="s">
        <v>1913</v>
      </c>
      <c r="B310" s="3" t="n">
        <v>60</v>
      </c>
      <c r="C310" s="1" t="s">
        <v>1399</v>
      </c>
      <c r="D310" s="1" t="s">
        <v>1914</v>
      </c>
    </row>
    <row r="311" customFormat="false" ht="15" hidden="false" customHeight="false" outlineLevel="0" collapsed="false">
      <c r="A311" s="1" t="s">
        <v>1915</v>
      </c>
      <c r="B311" s="3" t="n">
        <v>50</v>
      </c>
      <c r="C311" s="1" t="s">
        <v>1916</v>
      </c>
      <c r="D311" s="1" t="s">
        <v>1917</v>
      </c>
    </row>
    <row r="312" customFormat="false" ht="15" hidden="false" customHeight="false" outlineLevel="0" collapsed="false">
      <c r="A312" s="1" t="s">
        <v>1918</v>
      </c>
      <c r="B312" s="3" t="n">
        <v>0.25</v>
      </c>
      <c r="C312" s="1" t="s">
        <v>1414</v>
      </c>
      <c r="D312" s="1" t="s">
        <v>1919</v>
      </c>
    </row>
    <row r="313" customFormat="false" ht="15" hidden="false" customHeight="false" outlineLevel="0" collapsed="false">
      <c r="A313" s="1" t="s">
        <v>1920</v>
      </c>
    </row>
    <row r="314" customFormat="false" ht="15" hidden="false" customHeight="false" outlineLevel="0" collapsed="false">
      <c r="A314" s="1" t="s">
        <v>1921</v>
      </c>
    </row>
    <row r="315" customFormat="false" ht="15" hidden="false" customHeight="false" outlineLevel="0" collapsed="false">
      <c r="A315" s="1" t="s">
        <v>1922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2026-09-24T16:04:50Z</dcterms:created>
  <dc:creator>openpyxl</dc:creator>
  <dc:description/>
  <dc:language>en-US</dc:language>
  <cp:lastModifiedBy/>
  <dcterms:modified xsi:type="dcterms:W3CDTF">2026-10-02T18:03:35Z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